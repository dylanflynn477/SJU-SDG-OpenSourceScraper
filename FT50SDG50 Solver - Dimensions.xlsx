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OneDrive\Desktop\OAX\sju-oax\"/>
    </mc:Choice>
  </mc:AlternateContent>
  <xr:revisionPtr revIDLastSave="0" documentId="13_ncr:1_{40ACCA55-966A-45A1-8707-81113799B254}" xr6:coauthVersionLast="47" xr6:coauthVersionMax="47" xr10:uidLastSave="{00000000-0000-0000-0000-000000000000}"/>
  <bookViews>
    <workbookView xWindow="-108" yWindow="-108" windowWidth="23256" windowHeight="12456" activeTab="1" xr2:uid="{BE807192-C693-9F4A-968B-E7FF5FD48132}"/>
  </bookViews>
  <sheets>
    <sheet name="2015-2019" sheetId="2" r:id="rId1"/>
    <sheet name="2020-2024" sheetId="3" r:id="rId2"/>
  </sheets>
  <definedNames>
    <definedName name="_xlnm._FilterDatabase" localSheetId="0" hidden="1">'2015-2019'!$A$1:$N$1</definedName>
    <definedName name="_xlnm._FilterDatabase" localSheetId="1" hidden="1">'2020-2024'!$A$1:$N$1</definedName>
    <definedName name="solver_adj" localSheetId="0" hidden="1">'2015-2019'!$Q$1:$R$1,'2015-2019'!$U$1:$Z$1</definedName>
    <definedName name="solver_adj" localSheetId="1" hidden="1">'2020-2024'!$Q$1:$R$1,'2020-2024'!$U$1:$Z$1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3</definedName>
    <definedName name="solver_eng" localSheetId="1" hidden="1">3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'2015-2019'!#REF!</definedName>
    <definedName name="solver_lhs1" localSheetId="1" hidden="1">'2020-2024'!#REF!</definedName>
    <definedName name="solver_lhs10" localSheetId="0" hidden="1">'2015-2019'!$Z$1</definedName>
    <definedName name="solver_lhs10" localSheetId="1" hidden="1">'2020-2024'!$Z$1</definedName>
    <definedName name="solver_lhs11" localSheetId="0" hidden="1">'2015-2019'!$Q$1</definedName>
    <definedName name="solver_lhs11" localSheetId="1" hidden="1">'2020-2024'!$Q$1</definedName>
    <definedName name="solver_lhs2" localSheetId="0" hidden="1">'2015-2019'!$S$1</definedName>
    <definedName name="solver_lhs2" localSheetId="1" hidden="1">'2020-2024'!$S$1</definedName>
    <definedName name="solver_lhs3" localSheetId="0" hidden="1">'2015-2019'!$R$1</definedName>
    <definedName name="solver_lhs3" localSheetId="1" hidden="1">'2020-2024'!$R$1</definedName>
    <definedName name="solver_lhs4" localSheetId="0" hidden="1">'2015-2019'!$U$1</definedName>
    <definedName name="solver_lhs4" localSheetId="1" hidden="1">'2020-2024'!$U$1</definedName>
    <definedName name="solver_lhs5" localSheetId="0" hidden="1">'2015-2019'!$V$1</definedName>
    <definedName name="solver_lhs5" localSheetId="1" hidden="1">'2020-2024'!$V$1</definedName>
    <definedName name="solver_lhs6" localSheetId="0" hidden="1">'2015-2019'!$W$1</definedName>
    <definedName name="solver_lhs6" localSheetId="1" hidden="1">'2020-2024'!$W$1</definedName>
    <definedName name="solver_lhs7" localSheetId="0" hidden="1">'2015-2019'!$X$1</definedName>
    <definedName name="solver_lhs7" localSheetId="1" hidden="1">'2020-2024'!$X$1</definedName>
    <definedName name="solver_lhs8" localSheetId="0" hidden="1">'2015-2019'!$Y$1</definedName>
    <definedName name="solver_lhs8" localSheetId="1" hidden="1">'2020-2024'!$Y$1</definedName>
    <definedName name="solver_lhs9" localSheetId="0" hidden="1">'2015-2019'!$Z$1</definedName>
    <definedName name="solver_lhs9" localSheetId="1" hidden="1">'2020-2024'!$Z$1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11</definedName>
    <definedName name="solver_num" localSheetId="1" hidden="1">11</definedName>
    <definedName name="solver_nwt" localSheetId="0" hidden="1">1</definedName>
    <definedName name="solver_nwt" localSheetId="1" hidden="1">1</definedName>
    <definedName name="solver_opt" localSheetId="0" hidden="1">'2015-2019'!$AB$1</definedName>
    <definedName name="solver_opt" localSheetId="1" hidden="1">'2020-2024'!$AB$1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10" localSheetId="0" hidden="1">3</definedName>
    <definedName name="solver_rel10" localSheetId="1" hidden="1">3</definedName>
    <definedName name="solver_rel11" localSheetId="0" hidden="1">3</definedName>
    <definedName name="solver_rel11" localSheetId="1" hidden="1">3</definedName>
    <definedName name="solver_rel2" localSheetId="0" hidden="1">2</definedName>
    <definedName name="solver_rel2" localSheetId="1" hidden="1">2</definedName>
    <definedName name="solver_rel3" localSheetId="0" hidden="1">3</definedName>
    <definedName name="solver_rel3" localSheetId="1" hidden="1">3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0" hidden="1">1</definedName>
    <definedName name="solver_rel6" localSheetId="1" hidden="1">1</definedName>
    <definedName name="solver_rel7" localSheetId="0" hidden="1">1</definedName>
    <definedName name="solver_rel7" localSheetId="1" hidden="1">1</definedName>
    <definedName name="solver_rel8" localSheetId="0" hidden="1">1</definedName>
    <definedName name="solver_rel8" localSheetId="1" hidden="1">1</definedName>
    <definedName name="solver_rel9" localSheetId="0" hidden="1">1</definedName>
    <definedName name="solver_rel9" localSheetId="1" hidden="1">1</definedName>
    <definedName name="solver_rhs1" localSheetId="0" hidden="1">0.1</definedName>
    <definedName name="solver_rhs1" localSheetId="1" hidden="1">0.1</definedName>
    <definedName name="solver_rhs10" localSheetId="0" hidden="1">0</definedName>
    <definedName name="solver_rhs10" localSheetId="1" hidden="1">0</definedName>
    <definedName name="solver_rhs11" localSheetId="0" hidden="1">0.1</definedName>
    <definedName name="solver_rhs11" localSheetId="1" hidden="1">0.1</definedName>
    <definedName name="solver_rhs2" localSheetId="0" hidden="1">1</definedName>
    <definedName name="solver_rhs2" localSheetId="1" hidden="1">1</definedName>
    <definedName name="solver_rhs3" localSheetId="0" hidden="1">0.1</definedName>
    <definedName name="solver_rhs3" localSheetId="1" hidden="1">0.1</definedName>
    <definedName name="solver_rhs4" localSheetId="0" hidden="1">100</definedName>
    <definedName name="solver_rhs4" localSheetId="1" hidden="1">100</definedName>
    <definedName name="solver_rhs5" localSheetId="0" hidden="1">'2015-2019'!$U$1</definedName>
    <definedName name="solver_rhs5" localSheetId="1" hidden="1">'2020-2024'!$U$1</definedName>
    <definedName name="solver_rhs6" localSheetId="0" hidden="1">'2015-2019'!$V$1</definedName>
    <definedName name="solver_rhs6" localSheetId="1" hidden="1">'2020-2024'!$V$1</definedName>
    <definedName name="solver_rhs7" localSheetId="0" hidden="1">'2015-2019'!$W$1</definedName>
    <definedName name="solver_rhs7" localSheetId="1" hidden="1">'2020-2024'!$W$1</definedName>
    <definedName name="solver_rhs8" localSheetId="0" hidden="1">'2015-2019'!$X$1</definedName>
    <definedName name="solver_rhs8" localSheetId="1" hidden="1">'2020-2024'!$X$1</definedName>
    <definedName name="solver_rhs9" localSheetId="0" hidden="1">'2015-2019'!$Y$1</definedName>
    <definedName name="solver_rhs9" localSheetId="1" hidden="1">'2020-2024'!$Y$1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2" i="2"/>
  <c r="Q1" i="3"/>
  <c r="Q1" i="2"/>
  <c r="R1" i="3" l="1"/>
  <c r="J57" i="3" s="1"/>
  <c r="N57" i="3" s="1"/>
  <c r="J85" i="2"/>
  <c r="J83" i="2"/>
  <c r="J71" i="2"/>
  <c r="J59" i="2"/>
  <c r="J47" i="2"/>
  <c r="J35" i="2"/>
  <c r="J23" i="2"/>
  <c r="R1" i="2"/>
  <c r="J13" i="2" s="1"/>
  <c r="J12" i="2" l="1"/>
  <c r="J24" i="2"/>
  <c r="J36" i="2"/>
  <c r="J48" i="2"/>
  <c r="J60" i="2"/>
  <c r="S1" i="3"/>
  <c r="J59" i="3"/>
  <c r="N59" i="3" s="1"/>
  <c r="J14" i="3"/>
  <c r="N14" i="3" s="1"/>
  <c r="J28" i="3"/>
  <c r="N28" i="3" s="1"/>
  <c r="J56" i="3"/>
  <c r="N56" i="3" s="1"/>
  <c r="J71" i="3"/>
  <c r="N71" i="3" s="1"/>
  <c r="J42" i="3"/>
  <c r="N42" i="3" s="1"/>
  <c r="J70" i="3"/>
  <c r="N70" i="3" s="1"/>
  <c r="J86" i="3"/>
  <c r="N86" i="3" s="1"/>
  <c r="J87" i="3"/>
  <c r="N87" i="3" s="1"/>
  <c r="J12" i="3"/>
  <c r="N12" i="3" s="1"/>
  <c r="J24" i="3"/>
  <c r="N24" i="3" s="1"/>
  <c r="J11" i="3"/>
  <c r="N11" i="3" s="1"/>
  <c r="J83" i="3"/>
  <c r="N83" i="3" s="1"/>
  <c r="J36" i="3"/>
  <c r="N36" i="3" s="1"/>
  <c r="J15" i="3"/>
  <c r="N15" i="3" s="1"/>
  <c r="J43" i="3"/>
  <c r="N43" i="3" s="1"/>
  <c r="J48" i="3"/>
  <c r="N48" i="3" s="1"/>
  <c r="J60" i="3"/>
  <c r="N60" i="3" s="1"/>
  <c r="J72" i="3"/>
  <c r="N72" i="3" s="1"/>
  <c r="J35" i="3"/>
  <c r="N35" i="3" s="1"/>
  <c r="J84" i="3"/>
  <c r="N84" i="3" s="1"/>
  <c r="J13" i="3"/>
  <c r="N13" i="3" s="1"/>
  <c r="J16" i="3"/>
  <c r="N16" i="3" s="1"/>
  <c r="J58" i="3"/>
  <c r="N58" i="3" s="1"/>
  <c r="J88" i="3"/>
  <c r="N88" i="3" s="1"/>
  <c r="J31" i="3"/>
  <c r="N31" i="3" s="1"/>
  <c r="J61" i="3"/>
  <c r="N61" i="3" s="1"/>
  <c r="J89" i="3"/>
  <c r="N89" i="3" s="1"/>
  <c r="J3" i="3"/>
  <c r="N3" i="3" s="1"/>
  <c r="J62" i="3"/>
  <c r="N62" i="3" s="1"/>
  <c r="J90" i="3"/>
  <c r="N90" i="3" s="1"/>
  <c r="J4" i="3"/>
  <c r="N4" i="3" s="1"/>
  <c r="J19" i="3"/>
  <c r="N19" i="3" s="1"/>
  <c r="J49" i="3"/>
  <c r="N49" i="3" s="1"/>
  <c r="J77" i="3"/>
  <c r="N77" i="3" s="1"/>
  <c r="J5" i="3"/>
  <c r="N5" i="3" s="1"/>
  <c r="J34" i="3"/>
  <c r="N34" i="3" s="1"/>
  <c r="J78" i="3"/>
  <c r="N78" i="3" s="1"/>
  <c r="J21" i="3"/>
  <c r="N21" i="3" s="1"/>
  <c r="J51" i="3"/>
  <c r="N51" i="3" s="1"/>
  <c r="J79" i="3"/>
  <c r="N79" i="3" s="1"/>
  <c r="J22" i="3"/>
  <c r="N22" i="3" s="1"/>
  <c r="J52" i="3"/>
  <c r="N52" i="3" s="1"/>
  <c r="J80" i="3"/>
  <c r="N80" i="3" s="1"/>
  <c r="J25" i="3"/>
  <c r="N25" i="3" s="1"/>
  <c r="J67" i="3"/>
  <c r="N67" i="3" s="1"/>
  <c r="J9" i="3"/>
  <c r="N9" i="3" s="1"/>
  <c r="J54" i="3"/>
  <c r="N54" i="3" s="1"/>
  <c r="J41" i="3"/>
  <c r="N41" i="3" s="1"/>
  <c r="J30" i="3"/>
  <c r="N30" i="3" s="1"/>
  <c r="J74" i="3"/>
  <c r="N74" i="3" s="1"/>
  <c r="J2" i="3"/>
  <c r="N2" i="3" s="1"/>
  <c r="J17" i="3"/>
  <c r="N17" i="3" s="1"/>
  <c r="J45" i="3"/>
  <c r="N45" i="3" s="1"/>
  <c r="J75" i="3"/>
  <c r="N75" i="3" s="1"/>
  <c r="J18" i="3"/>
  <c r="N18" i="3" s="1"/>
  <c r="J32" i="3"/>
  <c r="N32" i="3" s="1"/>
  <c r="J46" i="3"/>
  <c r="N46" i="3" s="1"/>
  <c r="J76" i="3"/>
  <c r="N76" i="3" s="1"/>
  <c r="J33" i="3"/>
  <c r="N33" i="3" s="1"/>
  <c r="J63" i="3"/>
  <c r="N63" i="3" s="1"/>
  <c r="J20" i="3"/>
  <c r="N20" i="3" s="1"/>
  <c r="J50" i="3"/>
  <c r="N50" i="3" s="1"/>
  <c r="J64" i="3"/>
  <c r="N64" i="3" s="1"/>
  <c r="J6" i="3"/>
  <c r="N6" i="3" s="1"/>
  <c r="J37" i="3"/>
  <c r="N37" i="3" s="1"/>
  <c r="J65" i="3"/>
  <c r="N65" i="3" s="1"/>
  <c r="J7" i="3"/>
  <c r="N7" i="3" s="1"/>
  <c r="J38" i="3"/>
  <c r="N38" i="3" s="1"/>
  <c r="J66" i="3"/>
  <c r="N66" i="3" s="1"/>
  <c r="J8" i="3"/>
  <c r="N8" i="3" s="1"/>
  <c r="J39" i="3"/>
  <c r="N39" i="3" s="1"/>
  <c r="J81" i="3"/>
  <c r="N81" i="3" s="1"/>
  <c r="J26" i="3"/>
  <c r="N26" i="3" s="1"/>
  <c r="J82" i="3"/>
  <c r="N82" i="3" s="1"/>
  <c r="J27" i="3"/>
  <c r="N27" i="3" s="1"/>
  <c r="J69" i="3"/>
  <c r="N69" i="3" s="1"/>
  <c r="J44" i="3"/>
  <c r="N44" i="3" s="1"/>
  <c r="J53" i="3"/>
  <c r="N53" i="3" s="1"/>
  <c r="J40" i="3"/>
  <c r="N40" i="3" s="1"/>
  <c r="J68" i="3"/>
  <c r="N68" i="3" s="1"/>
  <c r="J10" i="3"/>
  <c r="N10" i="3" s="1"/>
  <c r="J55" i="3"/>
  <c r="N55" i="3" s="1"/>
  <c r="J85" i="3"/>
  <c r="N85" i="3" s="1"/>
  <c r="J29" i="3"/>
  <c r="N29" i="3" s="1"/>
  <c r="J23" i="3"/>
  <c r="N23" i="3" s="1"/>
  <c r="J47" i="3"/>
  <c r="N47" i="3" s="1"/>
  <c r="J73" i="3"/>
  <c r="N73" i="3" s="1"/>
  <c r="J25" i="2"/>
  <c r="N25" i="2" s="1"/>
  <c r="J72" i="2"/>
  <c r="N72" i="2" s="1"/>
  <c r="J37" i="2"/>
  <c r="N37" i="2" s="1"/>
  <c r="J61" i="2"/>
  <c r="N61" i="2" s="1"/>
  <c r="J26" i="2"/>
  <c r="N26" i="2" s="1"/>
  <c r="J50" i="2"/>
  <c r="N50" i="2" s="1"/>
  <c r="J74" i="2"/>
  <c r="N74" i="2" s="1"/>
  <c r="J15" i="2"/>
  <c r="N15" i="2" s="1"/>
  <c r="J27" i="2"/>
  <c r="N27" i="2" s="1"/>
  <c r="J51" i="2"/>
  <c r="N51" i="2" s="1"/>
  <c r="J75" i="2"/>
  <c r="N75" i="2" s="1"/>
  <c r="J16" i="2"/>
  <c r="N16" i="2" s="1"/>
  <c r="J40" i="2"/>
  <c r="N40" i="2" s="1"/>
  <c r="J76" i="2"/>
  <c r="N76" i="2" s="1"/>
  <c r="J30" i="2"/>
  <c r="N30" i="2" s="1"/>
  <c r="J78" i="2"/>
  <c r="N78" i="2" s="1"/>
  <c r="J7" i="2"/>
  <c r="N7" i="2" s="1"/>
  <c r="J55" i="2"/>
  <c r="N55" i="2" s="1"/>
  <c r="J8" i="2"/>
  <c r="N8" i="2" s="1"/>
  <c r="J56" i="2"/>
  <c r="N56" i="2" s="1"/>
  <c r="J21" i="2"/>
  <c r="N21" i="2" s="1"/>
  <c r="J69" i="2"/>
  <c r="N69" i="2" s="1"/>
  <c r="J34" i="2"/>
  <c r="N34" i="2" s="1"/>
  <c r="J70" i="2"/>
  <c r="N70" i="2" s="1"/>
  <c r="J52" i="2"/>
  <c r="N52" i="2" s="1"/>
  <c r="J18" i="2"/>
  <c r="N18" i="2" s="1"/>
  <c r="J66" i="2"/>
  <c r="N66" i="2" s="1"/>
  <c r="J31" i="2"/>
  <c r="N31" i="2" s="1"/>
  <c r="J67" i="2"/>
  <c r="N67" i="2" s="1"/>
  <c r="J14" i="2"/>
  <c r="N14" i="2" s="1"/>
  <c r="J38" i="2"/>
  <c r="N38" i="2" s="1"/>
  <c r="J62" i="2"/>
  <c r="N62" i="2" s="1"/>
  <c r="J86" i="2"/>
  <c r="N86" i="2" s="1"/>
  <c r="J3" i="2"/>
  <c r="N3" i="2" s="1"/>
  <c r="J39" i="2"/>
  <c r="N39" i="2" s="1"/>
  <c r="J63" i="2"/>
  <c r="N63" i="2" s="1"/>
  <c r="J87" i="2"/>
  <c r="N87" i="2" s="1"/>
  <c r="J4" i="2"/>
  <c r="N4" i="2" s="1"/>
  <c r="J28" i="2"/>
  <c r="N28" i="2" s="1"/>
  <c r="J64" i="2"/>
  <c r="N64" i="2" s="1"/>
  <c r="J88" i="2"/>
  <c r="N88" i="2" s="1"/>
  <c r="J89" i="2"/>
  <c r="N89" i="2" s="1"/>
  <c r="J6" i="2"/>
  <c r="N6" i="2" s="1"/>
  <c r="J54" i="2"/>
  <c r="N54" i="2" s="1"/>
  <c r="J2" i="2"/>
  <c r="N2" i="2" s="1"/>
  <c r="J19" i="2"/>
  <c r="N19" i="2" s="1"/>
  <c r="J79" i="2"/>
  <c r="N79" i="2" s="1"/>
  <c r="J32" i="2"/>
  <c r="N32" i="2" s="1"/>
  <c r="J80" i="2"/>
  <c r="N80" i="2" s="1"/>
  <c r="J33" i="2"/>
  <c r="N33" i="2" s="1"/>
  <c r="J57" i="2"/>
  <c r="N57" i="2" s="1"/>
  <c r="J22" i="2"/>
  <c r="N22" i="2" s="1"/>
  <c r="J58" i="2"/>
  <c r="N58" i="2" s="1"/>
  <c r="J5" i="2"/>
  <c r="N5" i="2" s="1"/>
  <c r="J17" i="2"/>
  <c r="N17" i="2" s="1"/>
  <c r="J29" i="2"/>
  <c r="N29" i="2" s="1"/>
  <c r="J41" i="2"/>
  <c r="N41" i="2" s="1"/>
  <c r="J53" i="2"/>
  <c r="N53" i="2" s="1"/>
  <c r="J65" i="2"/>
  <c r="N65" i="2" s="1"/>
  <c r="J77" i="2"/>
  <c r="N77" i="2" s="1"/>
  <c r="J42" i="2"/>
  <c r="N42" i="2" s="1"/>
  <c r="J90" i="2"/>
  <c r="N90" i="2" s="1"/>
  <c r="J43" i="2"/>
  <c r="N43" i="2" s="1"/>
  <c r="J20" i="2"/>
  <c r="N20" i="2" s="1"/>
  <c r="J44" i="2"/>
  <c r="N44" i="2" s="1"/>
  <c r="J68" i="2"/>
  <c r="N68" i="2" s="1"/>
  <c r="J9" i="2"/>
  <c r="N9" i="2" s="1"/>
  <c r="J45" i="2"/>
  <c r="N45" i="2" s="1"/>
  <c r="J81" i="2"/>
  <c r="N81" i="2" s="1"/>
  <c r="J10" i="2"/>
  <c r="N10" i="2" s="1"/>
  <c r="J46" i="2"/>
  <c r="N46" i="2" s="1"/>
  <c r="J82" i="2"/>
  <c r="N82" i="2" s="1"/>
  <c r="J84" i="2"/>
  <c r="N84" i="2" s="1"/>
  <c r="J49" i="2"/>
  <c r="N49" i="2" s="1"/>
  <c r="J73" i="2"/>
  <c r="N73" i="2" s="1"/>
  <c r="J11" i="2"/>
  <c r="N11" i="2" s="1"/>
  <c r="N36" i="2"/>
  <c r="N71" i="2"/>
  <c r="N48" i="2"/>
  <c r="N47" i="2"/>
  <c r="N24" i="2"/>
  <c r="N59" i="2"/>
  <c r="N12" i="2"/>
  <c r="S1" i="2"/>
  <c r="N83" i="2"/>
  <c r="N35" i="2"/>
  <c r="N85" i="2"/>
  <c r="N13" i="2"/>
  <c r="N60" i="2"/>
  <c r="N23" i="2"/>
  <c r="AB1" i="3" l="1"/>
  <c r="AB1" i="2"/>
</calcChain>
</file>

<file path=xl/sharedStrings.xml><?xml version="1.0" encoding="utf-8"?>
<sst xmlns="http://schemas.openxmlformats.org/spreadsheetml/2006/main" count="388" uniqueCount="286">
  <si>
    <t>ISSN</t>
  </si>
  <si>
    <t>SDG-DNA</t>
  </si>
  <si>
    <t>1744-8603</t>
  </si>
  <si>
    <t>2398-9629</t>
  </si>
  <si>
    <t>1718-2077</t>
  </si>
  <si>
    <t>STEINGARD FINE-TUNING</t>
  </si>
  <si>
    <t>NEW WEIGHT SDGII</t>
  </si>
  <si>
    <t>SDG-DNA FORMULA</t>
  </si>
  <si>
    <t>SDG WHEELS FORMULA</t>
  </si>
  <si>
    <t>New Accuracy</t>
  </si>
  <si>
    <t>0017-8012</t>
  </si>
  <si>
    <t>Total Articles</t>
  </si>
  <si>
    <t>SDG Presence (%)</t>
  </si>
  <si>
    <t>Top SDG Dominance (%)</t>
  </si>
  <si>
    <t>1548-7733</t>
  </si>
  <si>
    <t>Absolute Difference</t>
  </si>
  <si>
    <t>File Name</t>
  </si>
  <si>
    <t>Dimensions-AER 2020-2024-11-15_06-03-06 (1).xlsx</t>
  </si>
  <si>
    <t>0002-8282, 1944-7981</t>
  </si>
  <si>
    <t>Dimensions-AJESD 2020-2024-11-17_07-35-32.xlsx</t>
  </si>
  <si>
    <t>2046-4770, 2046-4789</t>
  </si>
  <si>
    <t>Dimensions-AMJ 2020-2024-11-15_06-08-23.xlsx</t>
  </si>
  <si>
    <t>0001-4273, 1948-0989</t>
  </si>
  <si>
    <t>Dimensions-AMR 2020-2024-11-18_16-43-43.xlsx</t>
  </si>
  <si>
    <t>0363-7425, 1930-3807</t>
  </si>
  <si>
    <t>Dimensions-AOS 2020-2024-11-16_07-17-39.xlsx</t>
  </si>
  <si>
    <t>0361-3682, 1873-6289</t>
  </si>
  <si>
    <t>Dimensions-ASD 2020-2024-11-12_18-54-45.xlsx</t>
  </si>
  <si>
    <t>1774-0746, 1773-0155</t>
  </si>
  <si>
    <t>Dimensions-ASFS 2020-2024-11-16_07-36-30.xlsx</t>
  </si>
  <si>
    <t>1044-0046, 1540-7578, 2168-3565, 2168-3573</t>
  </si>
  <si>
    <t>Dimensions-ASQ 2020-2024-11-12_15-32-32.xlsx</t>
  </si>
  <si>
    <t>0001-8392, 1930-3815</t>
  </si>
  <si>
    <t>Dimensions-BE 2020-2024-11-12_15-33-49.xlsx</t>
  </si>
  <si>
    <t>0962-8770, 1467-8608, 2694-6416, 2694-6424</t>
  </si>
  <si>
    <t>Dimensions-BS 2020-2024-11-18_20-22-07.xlsx</t>
  </si>
  <si>
    <t>0007-6503, 1552-4205</t>
  </si>
  <si>
    <t>Dimensions-CG 2020-2024-11-18_17-06-08.xlsx</t>
  </si>
  <si>
    <t>1472-0701, 1758-6054</t>
  </si>
  <si>
    <t>Dimensions-CGIR 2020-2024-11-18_20-18-35.xlsx</t>
  </si>
  <si>
    <t>0964-8410, 1467-8683</t>
  </si>
  <si>
    <t>Dimensions-COES 2020-2024-11-14_07-28-37.xlsx</t>
  </si>
  <si>
    <t>1877-3435, 1877-3443</t>
  </si>
  <si>
    <t>Dimensions-E 2020-2024-11-17_07-54-46.xlsx</t>
  </si>
  <si>
    <t>2225-1146</t>
  </si>
  <si>
    <t>Dimensions-EDS 2020-2024-10-29_08-15-31.xlsx</t>
  </si>
  <si>
    <t>1387-585X, 1573-2975</t>
  </si>
  <si>
    <t>Dimensions-EE 2020-2024-11-12_15-25-12.xlsx</t>
  </si>
  <si>
    <t>0163-4275, 2153-7895</t>
  </si>
  <si>
    <t>Dimensions-EPSE 2020-2024-11-17_08-09-15.xlsx</t>
  </si>
  <si>
    <t>1944-7442, 1547-5921, 1944-7450</t>
  </si>
  <si>
    <t>Dimensions-ESPSD 2020-2024-11-17_08-14-43.xlsx</t>
  </si>
  <si>
    <t>0013-9157, 1939-9154</t>
  </si>
  <si>
    <t>Dimensions-ETP 2020-2024-11-15_06-05-21.xlsx</t>
  </si>
  <si>
    <t>1042-2587, 1540-8520, 1540-6520</t>
  </si>
  <si>
    <t>Dimensions-FP 2020-2024-11-14_20-28-12.xlsx</t>
  </si>
  <si>
    <t>0306-9192, 1873-5657</t>
  </si>
  <si>
    <t>Dimensions-G&amp;H 2020-2024-10-30_07-00-40.xlsx</t>
  </si>
  <si>
    <t>Dimensions-GIM 2020-2024-11-12_18-46-26.xlsx</t>
  </si>
  <si>
    <t>1754-2413, 1758-7182</t>
  </si>
  <si>
    <t>Dimensions-GIM 2020-2024-11-12_18-47-00.xlsx</t>
  </si>
  <si>
    <t>Dimensions-HESS 2020-2024-11-14_20-28-33.xlsx</t>
  </si>
  <si>
    <t>Dimensions-HR 2020-2024-10-29_07-47-12.xlsx</t>
  </si>
  <si>
    <t>0018-7267, 1573-9716, 1741-282x</t>
  </si>
  <si>
    <t>Dimensions-IFAMR 2020-2024-11-17_08-14-07.xlsx</t>
  </si>
  <si>
    <t>1096-7508, 1559-2448</t>
  </si>
  <si>
    <t>Dimensions-IJAS 2020-2024-11-14_07-49-07.xlsx</t>
  </si>
  <si>
    <t>1473-5903, 1747-762X</t>
  </si>
  <si>
    <t>Dimensions-IJSDWE 2020-2024-10-30_07-17-51.xlsx</t>
  </si>
  <si>
    <t>1350-4509, 1745-2627</t>
  </si>
  <si>
    <t>Dimensions-IJSE 2020-2024-11-15_06-21-45.xlsx</t>
  </si>
  <si>
    <t>1478-6451, 1478-646X</t>
  </si>
  <si>
    <t>Dimensions-IJSPP 2020-2024-11-12_18-51-30.xlsx</t>
  </si>
  <si>
    <t>2325-1182, 2325-1166</t>
  </si>
  <si>
    <t>Dimensions-IJSSE 2020-2024-11-16_07-35-27.xlsx</t>
  </si>
  <si>
    <t>2325-1115, 2325-114X</t>
  </si>
  <si>
    <t>Dimensions-IJWRD 2020-2024-11-14_07-45-37.xlsx</t>
  </si>
  <si>
    <t>0790-0627, 1360-0648</t>
  </si>
  <si>
    <t>Dimensions-ISS 2020-2024-11-12_15-45-50.xlsx</t>
  </si>
  <si>
    <t>1047-7047, 1526-5536</t>
  </si>
  <si>
    <t>Dimensions-JAE 2020-2024-11-18_20-06-18.xlsx</t>
  </si>
  <si>
    <t>0165-4101, 1879-1980</t>
  </si>
  <si>
    <t>Dimensions-JAEE 2020-2024-11-17_07-40-40.xlsx</t>
  </si>
  <si>
    <t>1187-7863, 1573-322X</t>
  </si>
  <si>
    <t>Dimensions-JAMS 2020-2024-11-17_07-27-38.xlsx</t>
  </si>
  <si>
    <t>0092-0703, 1552-7824</t>
  </si>
  <si>
    <t>Dimensions-JAP 2020-2024-11-14_06-58-04.xlsx</t>
  </si>
  <si>
    <t>0021-9010, 1939-1854</t>
  </si>
  <si>
    <t>Dimensions-JBE 2020-2024-10-29_07-45-37.xlsx</t>
  </si>
  <si>
    <t>0167-4544, 1573-0697</t>
  </si>
  <si>
    <t>Dimensions-JBV 2020-2024-11-14_20-07-41.xlsx</t>
  </si>
  <si>
    <t>0883-9026, 1873-2003</t>
  </si>
  <si>
    <t>Dimensions-JCP 2020-2024-11-17_07-54-00.xlsx</t>
  </si>
  <si>
    <t>1057-7408, 1532-7663</t>
  </si>
  <si>
    <t>Dimensions-JCR 2020-2024-11-17_07-22-02.xlsx</t>
  </si>
  <si>
    <t>0093-5301, 1537-5277</t>
  </si>
  <si>
    <t>Dimensions-JEL 2020-2024-11-17_08-16-11.xlsx</t>
  </si>
  <si>
    <t>0952-8873, 1464-374X</t>
  </si>
  <si>
    <t>Dimensions-JF 2020-2024-11-18_16-42-35.xlsx</t>
  </si>
  <si>
    <t>0022-1082, 1540-6261</t>
  </si>
  <si>
    <t>Dimensions-JFE 2020-2024-11-18_16-46-12.xlsx</t>
  </si>
  <si>
    <t>0304-405X, 1879-2774</t>
  </si>
  <si>
    <t>Dimensions-JFQA 2020-2024-11-18_20-02-49.xlsx</t>
  </si>
  <si>
    <t>0022-1090, 1756-6916</t>
  </si>
  <si>
    <t>Dimensions-JHEN 2020-2024-11-14_07-53-19.xlsx</t>
  </si>
  <si>
    <t>1932-0248, 1932-0256</t>
  </si>
  <si>
    <t>Dimensions-JIBS 2020-2024-11-14_06-18-29.xlsx</t>
  </si>
  <si>
    <t>0047-2506, 1478-6990</t>
  </si>
  <si>
    <t>Dimensions-JM 2020-2024-11-14_20-05-09.xlsx</t>
  </si>
  <si>
    <t>0149-2063, 1557-1211</t>
  </si>
  <si>
    <t>Dimensions-JMIS 2020-2024-11-16_07-21-59.xlsx</t>
  </si>
  <si>
    <t>0742-1222, 1557-928X</t>
  </si>
  <si>
    <t>Dimensions-JMR 2020-2024-11-17_07-56-05.xlsx</t>
  </si>
  <si>
    <t>0022-2437, 1547-7193</t>
  </si>
  <si>
    <t>Dimensions-JMS 2020-2024-11-16_07-20-30.xlsx</t>
  </si>
  <si>
    <t>0022-2380, 1467-6486</t>
  </si>
  <si>
    <t>Dimensions-JOM 2020-2024-11-16_07-18-30.xlsx</t>
  </si>
  <si>
    <t>0272-6963, 1873-1317</t>
  </si>
  <si>
    <t>Dimensions-JRE 2020-2024-11-15_06-15-10.xlsx</t>
  </si>
  <si>
    <t>2314-4386, 2314-4394</t>
  </si>
  <si>
    <t>Dimensions-JSFI 2020-2024-11-17_07-38-26.xlsx</t>
  </si>
  <si>
    <t>2043-0795, 2043-0809</t>
  </si>
  <si>
    <t>Dimensions-JSIS 2020-2024-11-18_20-20-02.xlsx</t>
  </si>
  <si>
    <t>Dimensions-JST 2020-2024-11-15_06-19-16.xlsx</t>
  </si>
  <si>
    <t>0966-9582, 1747-7646</t>
  </si>
  <si>
    <t>Dimensions-L&amp;P 2020-2024-10-29_07-44-40.xlsx</t>
  </si>
  <si>
    <t>0265-8240, 1467-9930</t>
  </si>
  <si>
    <t>Dimensions-LUP 2020-2024-11-17_07-32-53.xlsx</t>
  </si>
  <si>
    <t>0169-2046, 1872-6062</t>
  </si>
  <si>
    <t>Dimensions-MISQ 2020-2024-11-18_20-25-01.xlsx</t>
  </si>
  <si>
    <t>0276-7783, 2162-9730, 02767783, 21629730</t>
  </si>
  <si>
    <t>Dimensions-MS 2020-2024-11-17_07-57-17.xlsx</t>
  </si>
  <si>
    <t>0025-1909, 1526-5501</t>
  </si>
  <si>
    <t>Dimensions-MSc 2020-2024-11-18_20-01-37 (1).xlsx</t>
  </si>
  <si>
    <t>0732-2399, 1526-548X</t>
  </si>
  <si>
    <t>Dimensions-NRF 2020-2024-10-29_08-11-50.xlsx</t>
  </si>
  <si>
    <t>0165-0203, 1477-8947</t>
  </si>
  <si>
    <t>Dimensions-NS 2020-2024-11-16_07-31-00.xlsx</t>
  </si>
  <si>
    <t>Dimensions-OBHDP 2020-2024-11-17_07-58-49.xlsx</t>
  </si>
  <si>
    <t>0749-5978, 1095-9920</t>
  </si>
  <si>
    <t>Dimensions-OE 2020-2024-11-18_16-58-25.xlsx</t>
  </si>
  <si>
    <t>1086-0266, 1552-7417</t>
  </si>
  <si>
    <t>Dimensions-OR 2020-2024-11-18_20-07-02.xlsx</t>
  </si>
  <si>
    <t>0030-364X, 1526-5463</t>
  </si>
  <si>
    <t>Dimensions-OS 2020-2024-11-14_19-59-22.xlsx</t>
  </si>
  <si>
    <t>1047-7039, 1526-5455</t>
  </si>
  <si>
    <t>Dimensions-OS 2020-2024-11-17_07-21-25.xlsx</t>
  </si>
  <si>
    <t>0170-8406, 1741-3044</t>
  </si>
  <si>
    <t>Dimensions-POM 2020-2024-11-16_07-19-49.xlsx</t>
  </si>
  <si>
    <t>1059-1478, 1937-5956</t>
  </si>
  <si>
    <t>Dimensions-PSEP 2020-2024-11-18_17-01-33.xlsx</t>
  </si>
  <si>
    <t>0957-5820, 1744-3598</t>
  </si>
  <si>
    <t>Dimensions-QJE 2020-2024-10-27_08-04-57.xlsx</t>
  </si>
  <si>
    <t>0033-5533, 1531-4650</t>
  </si>
  <si>
    <t>Dimensions-RAS 2020-2024-11-18_16-48-17 (1).xlsx</t>
  </si>
  <si>
    <t>1380-6653, 1573-7136</t>
  </si>
  <si>
    <t>Dimensions-RES 2020-2024-11-14_19-58-24.xlsx</t>
  </si>
  <si>
    <t>0034-6527, 1467-937X</t>
  </si>
  <si>
    <t>Dimensions-RF 2020-2024-11-12_15-44-10.xlsx</t>
  </si>
  <si>
    <t>1382-6662, 1875-824X, 1572-3097, 1573-692x</t>
  </si>
  <si>
    <t>Dimensions-RP 2020-2024-11-18_16-59-43.xlsx</t>
  </si>
  <si>
    <t>0048-7333, 1873-7625</t>
  </si>
  <si>
    <t>Dimensions-S 2020-2024-11-14_20-26-46.xlsx</t>
  </si>
  <si>
    <t>2071-1050</t>
  </si>
  <si>
    <t>Dimensions-SAMPJ 2020-2024-11-16_07-31-57.xlsx</t>
  </si>
  <si>
    <t>2040-8021, 2040-803X</t>
  </si>
  <si>
    <t>Dimensions-SD 2020-2024-11-14_20-22-36.xlsx</t>
  </si>
  <si>
    <t>0968-0802, 1099-1719</t>
  </si>
  <si>
    <t>Dimensions-SEAJ 2020-2024-11-18_20-22-57.xlsx</t>
  </si>
  <si>
    <t>0969-160X, 2156-2245</t>
  </si>
  <si>
    <t>Dimensions-SEJ 2020-2024-11-14_06-55-52.xlsx</t>
  </si>
  <si>
    <t>1932-4391, 1932-443X</t>
  </si>
  <si>
    <t>Dimensions-SMJ 2020-2024-11-17_07-23-24.xlsx</t>
  </si>
  <si>
    <t>0143-2095, 1097-0266</t>
  </si>
  <si>
    <t>Dimensions-SS 2020-2024-11-14_07-51-36 (1).xlsx</t>
  </si>
  <si>
    <t>1862-4065, 1862-4057</t>
  </si>
  <si>
    <t>Dimensions-SS 2020-2024-11-14_07-51-36.xlsx</t>
  </si>
  <si>
    <t>Dimensions-SSBE 2020.xlsx</t>
  </si>
  <si>
    <t>2046-6099, 2046-6102</t>
  </si>
  <si>
    <t>Dimensions-SSPP 2020-2024-11-15_06-18-36.xlsx</t>
  </si>
  <si>
    <t>Dimensions-TAR 2020-2024-11-18_20-05-48.xlsx</t>
  </si>
  <si>
    <t>0001-4826, 1558-7967</t>
  </si>
  <si>
    <t>Dimensions-WJESMD 2020-2024-11-15_06-20-56.xlsx</t>
  </si>
  <si>
    <t>2042-5961, 2042-597X</t>
  </si>
  <si>
    <t>HRM 2020.xlsx</t>
  </si>
  <si>
    <t>0090-4848, 1099-050X</t>
  </si>
  <si>
    <t>JM 2020.xlsx</t>
  </si>
  <si>
    <t>0022-2429, 1547-7185</t>
  </si>
  <si>
    <t>Top SDG 1</t>
  </si>
  <si>
    <t>Top SDG 2</t>
  </si>
  <si>
    <t>Top SDG 3</t>
  </si>
  <si>
    <t>Dimensions-AER 2015-2024-11-15_06-02-45 (1).xlsx</t>
  </si>
  <si>
    <t>Dimensions-AJESD 2015-2024-11-17_07-35-06.xlsx</t>
  </si>
  <si>
    <t>Dimensions-AMJ 2015-2024-11-15_06-08-05.xlsx</t>
  </si>
  <si>
    <t>Dimensions-AMR 2015-2024-11-18_16-43-26.xlsx</t>
  </si>
  <si>
    <t>Dimensions-AOS 2015-2024-11-16_07-17-11.xlsx</t>
  </si>
  <si>
    <t>Dimensions-ASD 2015-2024-11-12_18-54-21.xlsx</t>
  </si>
  <si>
    <t>Dimensions-ASFS 2015-2024-11-16_07-36-08.xlsx</t>
  </si>
  <si>
    <t>Dimensions-ASQ 2015-2024-11-12_15-32-05.xlsx</t>
  </si>
  <si>
    <t>Dimensions-BS 2015-2024-11-18_20-21-48.xlsx</t>
  </si>
  <si>
    <t>Dimensions-BSE 2015-2024-11-17_07-39-09.xlsx</t>
  </si>
  <si>
    <t>0964-4733, 1099-0836</t>
  </si>
  <si>
    <t>Dimensions-BSE 2015-2024-11-17_07-39-26.xlsx</t>
  </si>
  <si>
    <t>Dimensions-CAR 2015-2024-11-18_16-47-23 (1).xlsx</t>
  </si>
  <si>
    <t>0823-9150, 1911-3846</t>
  </si>
  <si>
    <t>Dimensions-CG 2015-2024-11-18_17-06-29.xlsx</t>
  </si>
  <si>
    <t>Dimensions-CGIR 2015-2024-11-18_20-18-16.xlsx</t>
  </si>
  <si>
    <t>Dimensions-E 2015-2024-11-17_07-55-03.xlsx</t>
  </si>
  <si>
    <t>Dimensions-EDS 2015-2024-10-29_08-15-10.xlsx</t>
  </si>
  <si>
    <t>Dimensions-EE 2015-2024-11-12_15-25-51.xlsx</t>
  </si>
  <si>
    <t>Dimensions-EPSE 2015-2024-11-17_08-09-34.xlsx</t>
  </si>
  <si>
    <t>Dimensions-ESPSD 2015-2024-11-17_08-15-06.xlsx</t>
  </si>
  <si>
    <t>Dimensions-ETP 2015-2024-11-15_06-05-44.xlsx</t>
  </si>
  <si>
    <t>Dimensions-FP 2015-2024-11-14_20-26-18.xlsx</t>
  </si>
  <si>
    <t>Dimensions-G&amp;H 2015-2024-10-30_07-00-20.xlsx</t>
  </si>
  <si>
    <t>Dimensions-HBR 2015-2024-11-17_07-25-49.xlsx</t>
  </si>
  <si>
    <t>Dimensions-HESS 2015-2024-11-14_20-30-00.xlsx</t>
  </si>
  <si>
    <t>1027-5606, 1607-7938</t>
  </si>
  <si>
    <t>Dimensions-HR 2015-2024-10-29_07-46-50.xlsx</t>
  </si>
  <si>
    <t>Dimensions-HRM 2015-2024-11-14_20-06-15.xlsx</t>
  </si>
  <si>
    <t>Dimensions-IFAMR 2015-2024-11-17_08-13-49.xlsx</t>
  </si>
  <si>
    <t>Dimensions-IJAS 2015-2024-11-14_07-49-33.xlsx</t>
  </si>
  <si>
    <t>Dimensions-IJSDWE 2015-2024-10-30_07-17-06.xlsx</t>
  </si>
  <si>
    <t>Dimensions-IJSE 2015-2024-11-15_06-22-03.xlsx</t>
  </si>
  <si>
    <t>Dimensions-IJWRD 2015-2024-11-14_07-45-13.xlsx</t>
  </si>
  <si>
    <t>Dimensions-ISS 2015-2024-11-12_15-45-27.xlsx</t>
  </si>
  <si>
    <t>Dimensions-JAE 2015-2024-11-18_20-09-41.xlsx</t>
  </si>
  <si>
    <t>Dimensions-JAEE 2015-2024-11-17_07-40-20.xlsx</t>
  </si>
  <si>
    <t>Dimensions-JAMS 2015-2024-11-17_07-27-20.xlsx</t>
  </si>
  <si>
    <t>Dimensions-JAP 2015-2024-11-14_06-57-21.xlsx</t>
  </si>
  <si>
    <t>Dimensions-JBE 2015-2024-10-29_07-46-00.xlsx</t>
  </si>
  <si>
    <t>Dimensions-JBV 2015-2024-11-14_20-07-21.xlsx</t>
  </si>
  <si>
    <t>Dimensions-JCP 2015-2024-11-17_07-53-44.xlsx</t>
  </si>
  <si>
    <t>Dimensions-JCR 2015-2024-11-17_07-22-20.xlsx</t>
  </si>
  <si>
    <t>Dimensions-JEL 2015-2024-11-17_08-15-52.xlsx</t>
  </si>
  <si>
    <t>Dimensions-JF 2015-2024-11-18_16-42-51.xlsx</t>
  </si>
  <si>
    <t>Dimensions-JFE 2015-2024-11-18_16-46-32.xlsx</t>
  </si>
  <si>
    <t>Dimensions-JFQA 2015-2024-11-18_20-03-05.xlsx</t>
  </si>
  <si>
    <t>Dimensions-JHEN 2015-2024-11-14_07-53-45.xlsx</t>
  </si>
  <si>
    <t>Dimensions-JIBS 2015-2024-11-14_06-17-47.xlsx</t>
  </si>
  <si>
    <t>Dimensions-JM 2015-2024-11-14_20-04-42.xlsx</t>
  </si>
  <si>
    <t>Dimensions-JMIS 2015-2024-11-16_07-21-41.xlsx</t>
  </si>
  <si>
    <t>Dimensions-JMR 2015-2024-11-17_07-55-37.xlsx</t>
  </si>
  <si>
    <t>Dimensions-JMS 2015-2024-11-16_07-20-51.xlsx</t>
  </si>
  <si>
    <t>Dimensions-JOM 2015-2024-11-16_07-18-49.xlsx</t>
  </si>
  <si>
    <t>Dimensions-JPE 2015-2024-11-15_06-01-24 (1).xlsx</t>
  </si>
  <si>
    <t>0022-3808, 1537-534X</t>
  </si>
  <si>
    <t>Dimensions-JRE 2015-2024-11-15_06-15-30.xlsx</t>
  </si>
  <si>
    <t>Dimensions-JSFI 2015-2024-11-17_07-38-42.xlsx</t>
  </si>
  <si>
    <t>Dimensions-JSIS 2015-2024-11-18_20-20-39.xlsx</t>
  </si>
  <si>
    <t>Dimensions-JST 2015-2024-11-15_06-19-45.xlsx</t>
  </si>
  <si>
    <t>Dimensions-L&amp;P 2015-2024-10-29_07-44-16.xlsx</t>
  </si>
  <si>
    <t>Dimensions-LUP 2015-2024-11-17_07-33-22.xlsx</t>
  </si>
  <si>
    <t>Dimensions-MISQ 2015-2024-11-18_20-24-31.xlsx</t>
  </si>
  <si>
    <t>Dimensions-MS 2015-2024-11-17_07-57-36.xlsx</t>
  </si>
  <si>
    <t>Dimensions-MSc 2015-2024-11-18_20-00-52 (1).xlsx</t>
  </si>
  <si>
    <t>Dimensions-MSOM 2015-2024-11-14_06-16-10.xlsx</t>
  </si>
  <si>
    <t>1523-4614, 1526-5498</t>
  </si>
  <si>
    <t>Dimensions-MSOM 2015-2024-11-14_06-16-32.xlsx</t>
  </si>
  <si>
    <t>Dimensions-NRF 2015-2024-10-29_08-12-25.xlsx</t>
  </si>
  <si>
    <t>Dimensions-NS 2015-2024-11-16_07-30-40 (1).xlsx</t>
  </si>
  <si>
    <t>Dimensions-OBHDP 2015-2024-11-17_07-58-31.xlsx</t>
  </si>
  <si>
    <t>Dimensions-OE 2015-2024-11-18_16-58-09.xlsx</t>
  </si>
  <si>
    <t>Dimensions-OR 2015-2024-11-18_20-08-16.xlsx</t>
  </si>
  <si>
    <t>Dimensions-OS 2015-2024-11-14_19-59-57.xlsx</t>
  </si>
  <si>
    <t>Dimensions-OS 2015-2024-11-17_07-21-02.xlsx</t>
  </si>
  <si>
    <t>Dimensions-POM 2015-2024-11-16_07-19-28.xlsx</t>
  </si>
  <si>
    <t>Dimensions-PSEP 2015-2024-11-18_17-01-16.xlsx</t>
  </si>
  <si>
    <t>Dimensions-QJE 2015.xlsx</t>
  </si>
  <si>
    <t>Dimensions-RAS 2015-2024-11-18_16-48-36 (1).xlsx</t>
  </si>
  <si>
    <t>Dimensions-RES 2015-2024-11-14_19-57-50.xlsx</t>
  </si>
  <si>
    <t>Dimensions-RF 2015-2024-11-12_15-44-42.xlsx</t>
  </si>
  <si>
    <t>Dimensions-RP 2015-2024-11-18_17-00-05.xlsx</t>
  </si>
  <si>
    <t>Dimensions-S 2015-2024-11-14_20-30-26.xlsx</t>
  </si>
  <si>
    <t>Dimensions-SAMPJ 2015-2024-11-16_07-32-21.xlsx</t>
  </si>
  <si>
    <t>Dimensions-SD 2015-2024-11-14_20-22-53.xlsx</t>
  </si>
  <si>
    <t>Dimensions-SEAJ 2015-2024-11-18_20-23-17.xlsx</t>
  </si>
  <si>
    <t>Dimensions-SEJ 2015-2024-11-14_06-56-21.xlsx</t>
  </si>
  <si>
    <t>Dimensions-SMJ 2015-2024-11-17_07-22-59.xlsx</t>
  </si>
  <si>
    <t>Dimensions-SS 2015-2024-11-14_07-51-31 (1).xlsx</t>
  </si>
  <si>
    <t>Dimensions-SS 2015-2024-11-14_07-51-31.xlsx</t>
  </si>
  <si>
    <t>Dimensions-SSBE 2015.xlsx</t>
  </si>
  <si>
    <t>Dimensions-SSPP 2015-2024-11-15_06-18-21.xlsx</t>
  </si>
  <si>
    <t>Dimensions-TAR 2015-2024-11-18_20-05-00.xlsx</t>
  </si>
  <si>
    <t>Dimensions-WJESMD 2015-2024-11-15_06-20-41.xlsx</t>
  </si>
  <si>
    <t>JM 2015.xlsx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</si>
</sst>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33" borderId="0" xfId="0" applyFont="1" applyFill="1" applyAlignment="1">
      <alignment horizontal="center" wrapText="1"/>
    </xf>
    <xf numFmtId="0" fontId="0" fillId="34" borderId="0" xfId="0" applyFill="1" applyAlignment="1">
      <alignment horizontal="center" wrapText="1"/>
    </xf>
    <xf numFmtId="2" fontId="16" fillId="34" borderId="0" xfId="0" applyNumberFormat="1" applyFont="1" applyFill="1" applyAlignment="1">
      <alignment horizontal="center" wrapText="1"/>
    </xf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0" fontId="0" fillId="35" borderId="0" xfId="0" applyNumberFormat="1" applyFill="1" applyAlignment="1">
      <alignment wrapText="1"/>
    </xf>
    <xf numFmtId="0" fontId="16" fillId="36" borderId="0" xfId="0" applyFont="1" applyFill="1" applyAlignment="1">
      <alignment wrapText="1"/>
    </xf>
    <xf numFmtId="0" fontId="0" fillId="36" borderId="0" xfId="0" applyFill="1" applyAlignment="1">
      <alignment horizontal="center" vertical="center"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1737-F968-4E4F-A01E-337200C1E7C8}">
  <dimension ref="A1:AD201"/>
  <sheetViews>
    <sheetView zoomScale="127" zoomScaleNormal="127" workbookViewId="0">
      <pane xSplit="1" topLeftCell="D1" activePane="topRight" state="frozen"/>
      <selection pane="topRight" activeCell="F2" sqref="F2:F90"/>
    </sheetView>
  </sheetViews>
  <sheetFormatPr defaultColWidth="10.796875" defaultRowHeight="15.6" x14ac:dyDescent="0.3"/>
  <cols>
    <col min="1" max="1" width="75.5" bestFit="1" customWidth="1"/>
    <col min="3" max="5" width="10.796875" customWidth="1"/>
    <col min="6" max="9" width="20.296875" customWidth="1"/>
    <col min="10" max="10" width="26.19921875" bestFit="1" customWidth="1"/>
    <col min="11" max="11" width="25.69921875" customWidth="1"/>
    <col min="12" max="12" width="10.796875" hidden="1" customWidth="1"/>
    <col min="13" max="13" width="9.69921875" hidden="1" customWidth="1"/>
    <col min="14" max="14" width="10.796875" customWidth="1"/>
    <col min="15" max="15" width="11.796875" bestFit="1" customWidth="1"/>
    <col min="17" max="18" width="11.59765625" bestFit="1" customWidth="1"/>
  </cols>
  <sheetData>
    <row r="1" spans="1:30" s="5" customFormat="1" ht="31.2" x14ac:dyDescent="0.3">
      <c r="A1" t="s">
        <v>16</v>
      </c>
      <c r="B1" t="s">
        <v>0</v>
      </c>
      <c r="C1" t="s">
        <v>11</v>
      </c>
      <c r="D1" t="s">
        <v>12</v>
      </c>
      <c r="E1" t="s">
        <v>13</v>
      </c>
      <c r="F1" s="8" t="s">
        <v>6</v>
      </c>
      <c r="G1" t="s">
        <v>188</v>
      </c>
      <c r="H1" t="s">
        <v>189</v>
      </c>
      <c r="I1" t="s">
        <v>190</v>
      </c>
      <c r="J1" s="6" t="s">
        <v>8</v>
      </c>
      <c r="K1" s="9" t="s">
        <v>5</v>
      </c>
      <c r="L1" s="5" t="s">
        <v>1</v>
      </c>
      <c r="M1" s="5" t="s">
        <v>7</v>
      </c>
      <c r="N1" s="5" t="s">
        <v>15</v>
      </c>
      <c r="P1" s="1">
        <v>1.2</v>
      </c>
      <c r="Q1" s="2">
        <f>0.5</f>
        <v>0.5</v>
      </c>
      <c r="R1" s="2">
        <f>1-Q1</f>
        <v>0.5</v>
      </c>
      <c r="S1" s="3">
        <f>Q1+R1</f>
        <v>1</v>
      </c>
      <c r="U1" s="2">
        <v>80</v>
      </c>
      <c r="V1" s="2">
        <v>60</v>
      </c>
      <c r="W1" s="2">
        <v>40</v>
      </c>
      <c r="X1" s="2">
        <v>20</v>
      </c>
      <c r="Y1" s="2">
        <v>0</v>
      </c>
      <c r="Z1" s="2">
        <v>0</v>
      </c>
      <c r="AA1" s="5" t="s">
        <v>9</v>
      </c>
      <c r="AB1" s="7">
        <f>COUNTIF(N2:N90,"&lt;2")/COUNT(N2:N90)</f>
        <v>0.19101123595505617</v>
      </c>
      <c r="AC1" s="10"/>
      <c r="AD1" s="7"/>
    </row>
    <row r="2" spans="1:30" x14ac:dyDescent="0.3">
      <c r="A2" t="s">
        <v>191</v>
      </c>
      <c r="B2" t="s">
        <v>18</v>
      </c>
      <c r="C2">
        <v>45</v>
      </c>
      <c r="D2">
        <v>26.67</v>
      </c>
      <c r="E2">
        <v>70</v>
      </c>
      <c r="F2">
        <f>$Q$1*D2+$R$1*E2</f>
        <v>48.335000000000001</v>
      </c>
      <c r="G2">
        <v>8</v>
      </c>
      <c r="H2">
        <v>16</v>
      </c>
      <c r="I2">
        <v>5</v>
      </c>
      <c r="J2" s="11" t="str">
        <f>IF(F2&gt;$U$1,"5",IF(F2&gt;$V$1,"4",IF(F2&gt;$W$1,"3",IF(F2&gt;$X$1,"2",IF(F2&gt;$Y$1,"1",IF(F2&gt;$Z$1,"0"))))))</f>
        <v>3</v>
      </c>
      <c r="K2" s="11">
        <v>5</v>
      </c>
      <c r="N2" s="4">
        <f t="shared" ref="N2:N33" si="0">ABS(J2-K2)</f>
        <v>2</v>
      </c>
      <c r="O2" s="4"/>
    </row>
    <row r="3" spans="1:30" x14ac:dyDescent="0.3">
      <c r="A3" t="s">
        <v>192</v>
      </c>
      <c r="B3" t="s">
        <v>20</v>
      </c>
      <c r="C3">
        <v>3</v>
      </c>
      <c r="D3">
        <v>33.33</v>
      </c>
      <c r="E3">
        <v>100</v>
      </c>
      <c r="F3">
        <f t="shared" ref="F3:F66" si="1">$Q$1*D3+$R$1*E3</f>
        <v>66.664999999999992</v>
      </c>
      <c r="G3">
        <v>7</v>
      </c>
      <c r="J3" s="11" t="str">
        <f t="shared" ref="J3:J66" si="2">IF(F3&gt;$U$1,"5",IF(F3&gt;$V$1,"4",IF(F3&gt;$W$1,"3",IF(F3&gt;$X$1,"2",IF(F3&gt;$Y$1,"1",IF(F3&gt;$Z$1,"0"))))))</f>
        <v>4</v>
      </c>
      <c r="K3" s="11">
        <v>5</v>
      </c>
      <c r="N3" s="4">
        <f t="shared" si="0"/>
        <v>1</v>
      </c>
      <c r="O3" s="4"/>
    </row>
    <row r="4" spans="1:30" x14ac:dyDescent="0.3">
      <c r="A4" t="s">
        <v>193</v>
      </c>
      <c r="B4" t="s">
        <v>22</v>
      </c>
      <c r="C4">
        <v>325</v>
      </c>
      <c r="D4">
        <v>6.15</v>
      </c>
      <c r="E4">
        <v>46.15</v>
      </c>
      <c r="F4">
        <f t="shared" si="1"/>
        <v>26.15</v>
      </c>
      <c r="G4">
        <v>16</v>
      </c>
      <c r="H4">
        <v>3</v>
      </c>
      <c r="I4">
        <v>5</v>
      </c>
      <c r="J4" s="11" t="str">
        <f t="shared" si="2"/>
        <v>2</v>
      </c>
      <c r="K4" s="11">
        <v>5</v>
      </c>
      <c r="N4" s="4">
        <f t="shared" si="0"/>
        <v>3</v>
      </c>
      <c r="O4" s="4"/>
    </row>
    <row r="5" spans="1:30" x14ac:dyDescent="0.3">
      <c r="A5" t="s">
        <v>194</v>
      </c>
      <c r="B5" t="s">
        <v>24</v>
      </c>
      <c r="C5">
        <v>61</v>
      </c>
      <c r="D5">
        <v>3.28</v>
      </c>
      <c r="E5">
        <v>100</v>
      </c>
      <c r="F5">
        <f t="shared" si="1"/>
        <v>51.64</v>
      </c>
      <c r="G5">
        <v>10</v>
      </c>
      <c r="J5" s="11" t="str">
        <f t="shared" si="2"/>
        <v>3</v>
      </c>
      <c r="K5" s="11">
        <v>5</v>
      </c>
      <c r="N5" s="4">
        <f t="shared" si="0"/>
        <v>2</v>
      </c>
      <c r="O5" s="4"/>
    </row>
    <row r="6" spans="1:30" x14ac:dyDescent="0.3">
      <c r="A6" t="s">
        <v>195</v>
      </c>
      <c r="B6" t="s">
        <v>26</v>
      </c>
      <c r="C6">
        <v>195</v>
      </c>
      <c r="D6">
        <v>8.7200000000000006</v>
      </c>
      <c r="E6">
        <v>64.290000000000006</v>
      </c>
      <c r="F6">
        <f t="shared" si="1"/>
        <v>36.505000000000003</v>
      </c>
      <c r="G6">
        <v>16</v>
      </c>
      <c r="H6">
        <v>3</v>
      </c>
      <c r="I6">
        <v>9</v>
      </c>
      <c r="J6" s="11" t="str">
        <f t="shared" si="2"/>
        <v>2</v>
      </c>
      <c r="K6" s="11">
        <v>5</v>
      </c>
      <c r="L6" s="11"/>
      <c r="N6" s="4">
        <f t="shared" si="0"/>
        <v>3</v>
      </c>
      <c r="O6" s="4"/>
    </row>
    <row r="7" spans="1:30" x14ac:dyDescent="0.3">
      <c r="A7" t="s">
        <v>196</v>
      </c>
      <c r="B7" t="s">
        <v>28</v>
      </c>
      <c r="C7">
        <v>222</v>
      </c>
      <c r="D7">
        <v>67.12</v>
      </c>
      <c r="E7">
        <v>69.62</v>
      </c>
      <c r="F7">
        <f t="shared" si="1"/>
        <v>68.37</v>
      </c>
      <c r="G7">
        <v>2</v>
      </c>
      <c r="H7">
        <v>15</v>
      </c>
      <c r="I7">
        <v>13</v>
      </c>
      <c r="J7" s="11" t="str">
        <f t="shared" si="2"/>
        <v>4</v>
      </c>
      <c r="K7" s="11">
        <v>5</v>
      </c>
      <c r="L7" s="11"/>
      <c r="N7" s="4">
        <f t="shared" si="0"/>
        <v>1</v>
      </c>
      <c r="O7" s="4"/>
    </row>
    <row r="8" spans="1:30" x14ac:dyDescent="0.3">
      <c r="A8" t="s">
        <v>197</v>
      </c>
      <c r="B8" t="s">
        <v>30</v>
      </c>
      <c r="C8">
        <v>247</v>
      </c>
      <c r="D8">
        <v>63.97</v>
      </c>
      <c r="E8">
        <v>67.099999999999994</v>
      </c>
      <c r="F8">
        <f t="shared" si="1"/>
        <v>65.534999999999997</v>
      </c>
      <c r="G8">
        <v>2</v>
      </c>
      <c r="H8">
        <v>15</v>
      </c>
      <c r="I8">
        <v>13</v>
      </c>
      <c r="J8" s="11" t="str">
        <f t="shared" si="2"/>
        <v>4</v>
      </c>
      <c r="K8" s="11">
        <v>5</v>
      </c>
      <c r="L8" s="11"/>
      <c r="N8" s="4">
        <f t="shared" si="0"/>
        <v>1</v>
      </c>
      <c r="O8" s="4"/>
    </row>
    <row r="9" spans="1:30" x14ac:dyDescent="0.3">
      <c r="A9" t="s">
        <v>198</v>
      </c>
      <c r="B9" t="s">
        <v>32</v>
      </c>
      <c r="C9">
        <v>117</v>
      </c>
      <c r="D9">
        <v>24.79</v>
      </c>
      <c r="E9">
        <v>52.94</v>
      </c>
      <c r="F9">
        <f t="shared" si="1"/>
        <v>38.864999999999995</v>
      </c>
      <c r="G9">
        <v>5</v>
      </c>
      <c r="H9">
        <v>10</v>
      </c>
      <c r="I9">
        <v>9</v>
      </c>
      <c r="J9" s="11" t="str">
        <f t="shared" si="2"/>
        <v>2</v>
      </c>
      <c r="K9" s="11">
        <v>5</v>
      </c>
      <c r="N9" s="4">
        <f t="shared" si="0"/>
        <v>3</v>
      </c>
      <c r="O9" s="4"/>
    </row>
    <row r="10" spans="1:30" x14ac:dyDescent="0.3">
      <c r="A10" t="s">
        <v>199</v>
      </c>
      <c r="B10" t="s">
        <v>36</v>
      </c>
      <c r="C10">
        <v>214</v>
      </c>
      <c r="D10">
        <v>27.57</v>
      </c>
      <c r="E10">
        <v>44.44</v>
      </c>
      <c r="F10">
        <f t="shared" si="1"/>
        <v>36.004999999999995</v>
      </c>
      <c r="G10">
        <v>16</v>
      </c>
      <c r="H10">
        <v>10</v>
      </c>
      <c r="I10">
        <v>8</v>
      </c>
      <c r="J10" s="11" t="str">
        <f t="shared" si="2"/>
        <v>2</v>
      </c>
      <c r="K10" s="11">
        <v>5</v>
      </c>
      <c r="N10" s="4">
        <f t="shared" si="0"/>
        <v>3</v>
      </c>
      <c r="O10" s="4"/>
    </row>
    <row r="11" spans="1:30" x14ac:dyDescent="0.3">
      <c r="A11" t="s">
        <v>200</v>
      </c>
      <c r="B11" t="s">
        <v>201</v>
      </c>
      <c r="C11">
        <v>396</v>
      </c>
      <c r="D11">
        <v>47.73</v>
      </c>
      <c r="E11">
        <v>45.28</v>
      </c>
      <c r="F11">
        <f t="shared" si="1"/>
        <v>46.504999999999995</v>
      </c>
      <c r="G11">
        <v>12</v>
      </c>
      <c r="H11">
        <v>9</v>
      </c>
      <c r="I11">
        <v>13</v>
      </c>
      <c r="J11" s="11" t="str">
        <f t="shared" si="2"/>
        <v>3</v>
      </c>
      <c r="K11" s="11">
        <v>5</v>
      </c>
      <c r="N11" s="4">
        <f t="shared" si="0"/>
        <v>2</v>
      </c>
      <c r="O11" s="4"/>
    </row>
    <row r="12" spans="1:30" x14ac:dyDescent="0.3">
      <c r="A12" t="s">
        <v>202</v>
      </c>
      <c r="B12" t="s">
        <v>201</v>
      </c>
      <c r="C12">
        <v>1039</v>
      </c>
      <c r="D12">
        <v>57.75</v>
      </c>
      <c r="E12">
        <v>59.12</v>
      </c>
      <c r="F12">
        <f t="shared" si="1"/>
        <v>58.435000000000002</v>
      </c>
      <c r="G12">
        <v>12</v>
      </c>
      <c r="H12">
        <v>9</v>
      </c>
      <c r="I12">
        <v>13</v>
      </c>
      <c r="J12" s="11" t="str">
        <f t="shared" si="2"/>
        <v>3</v>
      </c>
      <c r="K12" s="11">
        <v>5</v>
      </c>
      <c r="N12" s="4">
        <f t="shared" si="0"/>
        <v>2</v>
      </c>
      <c r="O12" s="4"/>
    </row>
    <row r="13" spans="1:30" x14ac:dyDescent="0.3">
      <c r="A13" t="s">
        <v>203</v>
      </c>
      <c r="B13" t="s">
        <v>204</v>
      </c>
      <c r="C13">
        <v>322</v>
      </c>
      <c r="D13">
        <v>1.55</v>
      </c>
      <c r="E13">
        <v>60</v>
      </c>
      <c r="F13">
        <f t="shared" si="1"/>
        <v>30.774999999999999</v>
      </c>
      <c r="G13">
        <v>16</v>
      </c>
      <c r="H13">
        <v>3</v>
      </c>
      <c r="I13">
        <v>8</v>
      </c>
      <c r="J13" s="11" t="str">
        <f t="shared" si="2"/>
        <v>2</v>
      </c>
      <c r="K13" s="11">
        <v>5</v>
      </c>
      <c r="N13" s="4">
        <f t="shared" si="0"/>
        <v>3</v>
      </c>
      <c r="O13" s="4"/>
    </row>
    <row r="14" spans="1:30" x14ac:dyDescent="0.3">
      <c r="A14" t="s">
        <v>205</v>
      </c>
      <c r="B14" t="s">
        <v>38</v>
      </c>
      <c r="C14">
        <v>270</v>
      </c>
      <c r="D14">
        <v>40.74</v>
      </c>
      <c r="E14">
        <v>84.85</v>
      </c>
      <c r="F14">
        <f t="shared" si="1"/>
        <v>62.795000000000002</v>
      </c>
      <c r="G14">
        <v>16</v>
      </c>
      <c r="H14">
        <v>5</v>
      </c>
      <c r="I14">
        <v>4</v>
      </c>
      <c r="J14" s="11" t="str">
        <f t="shared" si="2"/>
        <v>4</v>
      </c>
      <c r="K14" s="11">
        <v>5</v>
      </c>
      <c r="N14" s="4">
        <f t="shared" si="0"/>
        <v>1</v>
      </c>
      <c r="O14" s="4"/>
    </row>
    <row r="15" spans="1:30" x14ac:dyDescent="0.3">
      <c r="A15" t="s">
        <v>206</v>
      </c>
      <c r="B15" t="s">
        <v>40</v>
      </c>
      <c r="C15">
        <v>112</v>
      </c>
      <c r="D15">
        <v>24.11</v>
      </c>
      <c r="E15">
        <v>80.77</v>
      </c>
      <c r="F15">
        <f t="shared" si="1"/>
        <v>52.44</v>
      </c>
      <c r="G15">
        <v>16</v>
      </c>
      <c r="H15">
        <v>9</v>
      </c>
      <c r="I15">
        <v>5</v>
      </c>
      <c r="J15" s="11" t="str">
        <f t="shared" si="2"/>
        <v>3</v>
      </c>
      <c r="K15" s="11">
        <v>5</v>
      </c>
      <c r="N15" s="4">
        <f t="shared" si="0"/>
        <v>2</v>
      </c>
      <c r="O15" s="4"/>
    </row>
    <row r="16" spans="1:30" x14ac:dyDescent="0.3">
      <c r="A16" t="s">
        <v>207</v>
      </c>
      <c r="B16" t="s">
        <v>44</v>
      </c>
      <c r="C16">
        <v>68</v>
      </c>
      <c r="D16">
        <v>8.82</v>
      </c>
      <c r="E16">
        <v>50</v>
      </c>
      <c r="F16">
        <f t="shared" si="1"/>
        <v>29.41</v>
      </c>
      <c r="G16">
        <v>8</v>
      </c>
      <c r="H16">
        <v>10</v>
      </c>
      <c r="I16">
        <v>15</v>
      </c>
      <c r="J16" s="11" t="str">
        <f t="shared" si="2"/>
        <v>2</v>
      </c>
      <c r="K16" s="11">
        <v>5</v>
      </c>
      <c r="N16" s="4">
        <f t="shared" si="0"/>
        <v>3</v>
      </c>
      <c r="O16" s="4"/>
    </row>
    <row r="17" spans="1:15" x14ac:dyDescent="0.3">
      <c r="A17" t="s">
        <v>208</v>
      </c>
      <c r="B17" t="s">
        <v>46</v>
      </c>
      <c r="C17">
        <v>812</v>
      </c>
      <c r="D17">
        <v>67.239999999999995</v>
      </c>
      <c r="E17">
        <v>42.05</v>
      </c>
      <c r="F17">
        <f t="shared" si="1"/>
        <v>54.644999999999996</v>
      </c>
      <c r="G17">
        <v>15</v>
      </c>
      <c r="H17">
        <v>13</v>
      </c>
      <c r="I17">
        <v>7</v>
      </c>
      <c r="J17" s="11" t="str">
        <f t="shared" si="2"/>
        <v>3</v>
      </c>
      <c r="K17" s="11">
        <v>5</v>
      </c>
      <c r="L17" s="11"/>
      <c r="N17" s="4">
        <f t="shared" si="0"/>
        <v>2</v>
      </c>
      <c r="O17" s="4"/>
    </row>
    <row r="18" spans="1:15" x14ac:dyDescent="0.3">
      <c r="A18" t="s">
        <v>209</v>
      </c>
      <c r="B18" t="s">
        <v>48</v>
      </c>
      <c r="C18">
        <v>60</v>
      </c>
      <c r="D18">
        <v>31.67</v>
      </c>
      <c r="E18">
        <v>42.11</v>
      </c>
      <c r="F18">
        <f t="shared" si="1"/>
        <v>36.89</v>
      </c>
      <c r="G18">
        <v>13</v>
      </c>
      <c r="H18">
        <v>15</v>
      </c>
      <c r="I18">
        <v>16</v>
      </c>
      <c r="J18" s="11" t="str">
        <f t="shared" si="2"/>
        <v>2</v>
      </c>
      <c r="K18" s="11">
        <v>5</v>
      </c>
      <c r="N18" s="4">
        <f t="shared" si="0"/>
        <v>3</v>
      </c>
      <c r="O18" s="4"/>
    </row>
    <row r="19" spans="1:15" x14ac:dyDescent="0.3">
      <c r="A19" t="s">
        <v>210</v>
      </c>
      <c r="B19" t="s">
        <v>50</v>
      </c>
      <c r="C19">
        <v>712</v>
      </c>
      <c r="D19">
        <v>44.8</v>
      </c>
      <c r="E19">
        <v>64.02</v>
      </c>
      <c r="F19">
        <f t="shared" si="1"/>
        <v>54.41</v>
      </c>
      <c r="G19">
        <v>7</v>
      </c>
      <c r="H19">
        <v>13</v>
      </c>
      <c r="I19">
        <v>12</v>
      </c>
      <c r="J19" s="11" t="str">
        <f t="shared" si="2"/>
        <v>3</v>
      </c>
      <c r="K19" s="11">
        <v>5</v>
      </c>
      <c r="N19" s="4">
        <f t="shared" si="0"/>
        <v>2</v>
      </c>
      <c r="O19" s="4"/>
    </row>
    <row r="20" spans="1:15" x14ac:dyDescent="0.3">
      <c r="A20" t="s">
        <v>211</v>
      </c>
      <c r="B20" t="s">
        <v>52</v>
      </c>
      <c r="C20">
        <v>35</v>
      </c>
      <c r="D20">
        <v>11.43</v>
      </c>
      <c r="E20">
        <v>33.33</v>
      </c>
      <c r="F20">
        <f t="shared" si="1"/>
        <v>22.38</v>
      </c>
      <c r="G20">
        <v>13</v>
      </c>
      <c r="H20">
        <v>15</v>
      </c>
      <c r="I20">
        <v>4</v>
      </c>
      <c r="J20" s="11" t="str">
        <f t="shared" si="2"/>
        <v>2</v>
      </c>
      <c r="K20" s="11">
        <v>5</v>
      </c>
      <c r="N20" s="4">
        <f t="shared" si="0"/>
        <v>3</v>
      </c>
      <c r="O20" s="4"/>
    </row>
    <row r="21" spans="1:15" x14ac:dyDescent="0.3">
      <c r="A21" t="s">
        <v>212</v>
      </c>
      <c r="B21" t="s">
        <v>54</v>
      </c>
      <c r="C21">
        <v>243</v>
      </c>
      <c r="D21">
        <v>18.11</v>
      </c>
      <c r="E21">
        <v>42.86</v>
      </c>
      <c r="F21">
        <f t="shared" si="1"/>
        <v>30.484999999999999</v>
      </c>
      <c r="G21">
        <v>5</v>
      </c>
      <c r="H21">
        <v>8</v>
      </c>
      <c r="I21">
        <v>16</v>
      </c>
      <c r="J21" s="11" t="str">
        <f t="shared" si="2"/>
        <v>2</v>
      </c>
      <c r="K21" s="11">
        <v>5</v>
      </c>
      <c r="N21" s="4">
        <f t="shared" si="0"/>
        <v>3</v>
      </c>
      <c r="O21" s="4"/>
    </row>
    <row r="22" spans="1:15" x14ac:dyDescent="0.3">
      <c r="A22" t="s">
        <v>213</v>
      </c>
      <c r="B22" t="s">
        <v>163</v>
      </c>
      <c r="C22">
        <v>13661</v>
      </c>
      <c r="D22">
        <v>59.38</v>
      </c>
      <c r="E22">
        <v>35.590000000000003</v>
      </c>
      <c r="F22">
        <f t="shared" si="1"/>
        <v>47.484999999999999</v>
      </c>
      <c r="G22">
        <v>11</v>
      </c>
      <c r="H22">
        <v>7</v>
      </c>
      <c r="I22">
        <v>15</v>
      </c>
      <c r="J22" s="11" t="str">
        <f t="shared" si="2"/>
        <v>3</v>
      </c>
      <c r="K22" s="11">
        <v>5</v>
      </c>
      <c r="N22" s="4">
        <f t="shared" si="0"/>
        <v>2</v>
      </c>
      <c r="O22" s="4"/>
    </row>
    <row r="23" spans="1:15" x14ac:dyDescent="0.3">
      <c r="A23" t="s">
        <v>214</v>
      </c>
      <c r="B23" t="s">
        <v>2</v>
      </c>
      <c r="C23">
        <v>266</v>
      </c>
      <c r="D23">
        <v>81.58</v>
      </c>
      <c r="E23">
        <v>82.79</v>
      </c>
      <c r="F23">
        <f t="shared" si="1"/>
        <v>82.185000000000002</v>
      </c>
      <c r="G23">
        <v>3</v>
      </c>
      <c r="H23">
        <v>16</v>
      </c>
      <c r="I23">
        <v>17</v>
      </c>
      <c r="J23" s="11" t="str">
        <f t="shared" si="2"/>
        <v>5</v>
      </c>
      <c r="K23" s="11">
        <v>5</v>
      </c>
      <c r="N23" s="4">
        <f t="shared" si="0"/>
        <v>0</v>
      </c>
      <c r="O23" s="4"/>
    </row>
    <row r="24" spans="1:15" x14ac:dyDescent="0.3">
      <c r="A24" t="s">
        <v>215</v>
      </c>
      <c r="B24" t="s">
        <v>10</v>
      </c>
      <c r="C24">
        <v>6</v>
      </c>
      <c r="D24">
        <v>50</v>
      </c>
      <c r="E24">
        <v>66.67</v>
      </c>
      <c r="F24">
        <f t="shared" si="1"/>
        <v>58.335000000000001</v>
      </c>
      <c r="G24">
        <v>3</v>
      </c>
      <c r="H24">
        <v>16</v>
      </c>
      <c r="J24" s="11" t="str">
        <f t="shared" si="2"/>
        <v>3</v>
      </c>
      <c r="K24" s="11">
        <v>4</v>
      </c>
      <c r="N24" s="4">
        <f t="shared" si="0"/>
        <v>1</v>
      </c>
      <c r="O24" s="4"/>
    </row>
    <row r="25" spans="1:15" x14ac:dyDescent="0.3">
      <c r="A25" t="s">
        <v>216</v>
      </c>
      <c r="B25" t="s">
        <v>217</v>
      </c>
      <c r="C25">
        <v>1153</v>
      </c>
      <c r="D25">
        <v>43.89</v>
      </c>
      <c r="E25">
        <v>55.74</v>
      </c>
      <c r="F25">
        <f t="shared" si="1"/>
        <v>49.814999999999998</v>
      </c>
      <c r="G25">
        <v>13</v>
      </c>
      <c r="H25">
        <v>15</v>
      </c>
      <c r="I25">
        <v>6</v>
      </c>
      <c r="J25" s="11" t="str">
        <f t="shared" si="2"/>
        <v>3</v>
      </c>
      <c r="K25" s="11">
        <v>5</v>
      </c>
      <c r="L25" s="11"/>
      <c r="N25" s="4">
        <f t="shared" si="0"/>
        <v>2</v>
      </c>
      <c r="O25" s="4"/>
    </row>
    <row r="26" spans="1:15" x14ac:dyDescent="0.3">
      <c r="A26" t="s">
        <v>218</v>
      </c>
      <c r="B26" t="s">
        <v>63</v>
      </c>
      <c r="C26">
        <v>384</v>
      </c>
      <c r="D26">
        <v>21.61</v>
      </c>
      <c r="E26">
        <v>35.85</v>
      </c>
      <c r="F26">
        <f t="shared" si="1"/>
        <v>28.73</v>
      </c>
      <c r="G26">
        <v>5</v>
      </c>
      <c r="H26">
        <v>16</v>
      </c>
      <c r="I26">
        <v>8</v>
      </c>
      <c r="J26" s="11" t="str">
        <f t="shared" si="2"/>
        <v>2</v>
      </c>
      <c r="K26" s="11">
        <v>5</v>
      </c>
      <c r="L26" s="11"/>
      <c r="N26" s="4">
        <f t="shared" si="0"/>
        <v>3</v>
      </c>
      <c r="O26" s="4"/>
    </row>
    <row r="27" spans="1:15" x14ac:dyDescent="0.3">
      <c r="A27" t="s">
        <v>219</v>
      </c>
      <c r="B27" t="s">
        <v>185</v>
      </c>
      <c r="C27">
        <v>262</v>
      </c>
      <c r="D27">
        <v>17.940000000000001</v>
      </c>
      <c r="E27">
        <v>45.71</v>
      </c>
      <c r="F27">
        <f t="shared" si="1"/>
        <v>31.825000000000003</v>
      </c>
      <c r="G27">
        <v>8</v>
      </c>
      <c r="H27">
        <v>5</v>
      </c>
      <c r="I27">
        <v>16</v>
      </c>
      <c r="J27" s="11" t="str">
        <f t="shared" si="2"/>
        <v>2</v>
      </c>
      <c r="K27" s="11">
        <v>5</v>
      </c>
      <c r="L27" s="11"/>
      <c r="N27" s="4">
        <f t="shared" si="0"/>
        <v>3</v>
      </c>
      <c r="O27" s="4"/>
    </row>
    <row r="28" spans="1:15" x14ac:dyDescent="0.3">
      <c r="A28" t="s">
        <v>220</v>
      </c>
      <c r="B28" t="s">
        <v>65</v>
      </c>
      <c r="C28">
        <v>169</v>
      </c>
      <c r="D28">
        <v>40.83</v>
      </c>
      <c r="E28">
        <v>63.49</v>
      </c>
      <c r="F28">
        <f t="shared" si="1"/>
        <v>52.16</v>
      </c>
      <c r="G28">
        <v>2</v>
      </c>
      <c r="H28">
        <v>9</v>
      </c>
      <c r="I28">
        <v>12</v>
      </c>
      <c r="J28" s="11" t="str">
        <f t="shared" si="2"/>
        <v>3</v>
      </c>
      <c r="K28" s="11">
        <v>5</v>
      </c>
      <c r="L28" s="11"/>
      <c r="N28" s="4">
        <f t="shared" si="0"/>
        <v>2</v>
      </c>
      <c r="O28" s="4"/>
    </row>
    <row r="29" spans="1:15" x14ac:dyDescent="0.3">
      <c r="A29" t="s">
        <v>221</v>
      </c>
      <c r="B29" t="s">
        <v>67</v>
      </c>
      <c r="C29">
        <v>123</v>
      </c>
      <c r="D29">
        <v>79.67</v>
      </c>
      <c r="E29">
        <v>68.87</v>
      </c>
      <c r="F29">
        <f t="shared" si="1"/>
        <v>74.27000000000001</v>
      </c>
      <c r="G29">
        <v>2</v>
      </c>
      <c r="H29">
        <v>15</v>
      </c>
      <c r="I29">
        <v>13</v>
      </c>
      <c r="J29" s="11" t="str">
        <f t="shared" si="2"/>
        <v>4</v>
      </c>
      <c r="K29" s="11">
        <v>5</v>
      </c>
      <c r="N29" s="4">
        <f t="shared" si="0"/>
        <v>1</v>
      </c>
      <c r="O29" s="4"/>
    </row>
    <row r="30" spans="1:15" x14ac:dyDescent="0.3">
      <c r="A30" t="s">
        <v>222</v>
      </c>
      <c r="B30" t="s">
        <v>69</v>
      </c>
      <c r="C30">
        <v>266</v>
      </c>
      <c r="D30">
        <v>66.540000000000006</v>
      </c>
      <c r="E30">
        <v>59.85</v>
      </c>
      <c r="F30">
        <f t="shared" si="1"/>
        <v>63.195000000000007</v>
      </c>
      <c r="G30">
        <v>15</v>
      </c>
      <c r="H30">
        <v>11</v>
      </c>
      <c r="I30">
        <v>13</v>
      </c>
      <c r="J30" s="11" t="str">
        <f t="shared" si="2"/>
        <v>4</v>
      </c>
      <c r="K30" s="11">
        <v>5</v>
      </c>
      <c r="N30" s="4">
        <f t="shared" si="0"/>
        <v>1</v>
      </c>
      <c r="O30" s="4"/>
    </row>
    <row r="31" spans="1:15" x14ac:dyDescent="0.3">
      <c r="A31" t="s">
        <v>223</v>
      </c>
      <c r="B31" t="s">
        <v>71</v>
      </c>
      <c r="C31">
        <v>141</v>
      </c>
      <c r="D31">
        <v>70.92</v>
      </c>
      <c r="E31">
        <v>72.8</v>
      </c>
      <c r="F31">
        <f t="shared" si="1"/>
        <v>71.86</v>
      </c>
      <c r="G31">
        <v>7</v>
      </c>
      <c r="H31">
        <v>13</v>
      </c>
      <c r="I31">
        <v>3</v>
      </c>
      <c r="J31" s="11" t="str">
        <f t="shared" si="2"/>
        <v>4</v>
      </c>
      <c r="K31" s="11">
        <v>5</v>
      </c>
      <c r="N31" s="4">
        <f t="shared" si="0"/>
        <v>1</v>
      </c>
      <c r="O31" s="4"/>
    </row>
    <row r="32" spans="1:15" ht="16.95" customHeight="1" x14ac:dyDescent="0.3">
      <c r="A32" t="s">
        <v>224</v>
      </c>
      <c r="B32" t="s">
        <v>77</v>
      </c>
      <c r="C32">
        <v>288</v>
      </c>
      <c r="D32">
        <v>59.38</v>
      </c>
      <c r="E32">
        <v>56.25</v>
      </c>
      <c r="F32">
        <f t="shared" si="1"/>
        <v>57.814999999999998</v>
      </c>
      <c r="G32">
        <v>6</v>
      </c>
      <c r="H32">
        <v>7</v>
      </c>
      <c r="I32">
        <v>2</v>
      </c>
      <c r="J32" s="11" t="str">
        <f t="shared" si="2"/>
        <v>3</v>
      </c>
      <c r="K32" s="11">
        <v>5</v>
      </c>
      <c r="N32" s="4">
        <f t="shared" si="0"/>
        <v>2</v>
      </c>
      <c r="O32" s="4"/>
    </row>
    <row r="33" spans="1:15" x14ac:dyDescent="0.3">
      <c r="A33" t="s">
        <v>225</v>
      </c>
      <c r="B33" t="s">
        <v>79</v>
      </c>
      <c r="C33">
        <v>37</v>
      </c>
      <c r="D33">
        <v>18.920000000000002</v>
      </c>
      <c r="E33">
        <v>50</v>
      </c>
      <c r="F33">
        <f t="shared" si="1"/>
        <v>34.46</v>
      </c>
      <c r="G33">
        <v>9</v>
      </c>
      <c r="H33">
        <v>3</v>
      </c>
      <c r="I33">
        <v>8</v>
      </c>
      <c r="J33" s="11" t="str">
        <f t="shared" si="2"/>
        <v>2</v>
      </c>
      <c r="K33" s="11">
        <v>5</v>
      </c>
      <c r="N33" s="4">
        <f t="shared" si="0"/>
        <v>3</v>
      </c>
      <c r="O33" s="4"/>
    </row>
    <row r="34" spans="1:15" x14ac:dyDescent="0.3">
      <c r="A34" t="s">
        <v>226</v>
      </c>
      <c r="B34" t="s">
        <v>81</v>
      </c>
      <c r="C34">
        <v>201</v>
      </c>
      <c r="D34">
        <v>6.97</v>
      </c>
      <c r="E34">
        <v>41.67</v>
      </c>
      <c r="F34">
        <f t="shared" si="1"/>
        <v>24.32</v>
      </c>
      <c r="G34">
        <v>16</v>
      </c>
      <c r="H34">
        <v>8</v>
      </c>
      <c r="I34">
        <v>3</v>
      </c>
      <c r="J34" s="11" t="str">
        <f t="shared" si="2"/>
        <v>2</v>
      </c>
      <c r="K34" s="11">
        <v>5</v>
      </c>
      <c r="N34" s="4">
        <f t="shared" ref="N34:N65" si="3">ABS(J34-K34)</f>
        <v>3</v>
      </c>
      <c r="O34" s="4"/>
    </row>
    <row r="35" spans="1:15" x14ac:dyDescent="0.3">
      <c r="A35" t="s">
        <v>227</v>
      </c>
      <c r="B35" t="s">
        <v>83</v>
      </c>
      <c r="C35">
        <v>55</v>
      </c>
      <c r="D35">
        <v>47.27</v>
      </c>
      <c r="E35">
        <v>55</v>
      </c>
      <c r="F35">
        <f t="shared" si="1"/>
        <v>51.135000000000005</v>
      </c>
      <c r="G35">
        <v>2</v>
      </c>
      <c r="H35">
        <v>12</v>
      </c>
      <c r="I35">
        <v>16</v>
      </c>
      <c r="J35" s="11" t="str">
        <f t="shared" si="2"/>
        <v>3</v>
      </c>
      <c r="K35" s="11">
        <v>5</v>
      </c>
      <c r="N35" s="4">
        <f t="shared" si="3"/>
        <v>2</v>
      </c>
      <c r="O35" s="4"/>
    </row>
    <row r="36" spans="1:15" x14ac:dyDescent="0.3">
      <c r="A36" t="s">
        <v>228</v>
      </c>
      <c r="B36" t="s">
        <v>85</v>
      </c>
      <c r="C36">
        <v>229</v>
      </c>
      <c r="D36">
        <v>11.79</v>
      </c>
      <c r="E36">
        <v>65.22</v>
      </c>
      <c r="F36">
        <f t="shared" si="1"/>
        <v>38.504999999999995</v>
      </c>
      <c r="G36">
        <v>9</v>
      </c>
      <c r="H36">
        <v>3</v>
      </c>
      <c r="I36">
        <v>16</v>
      </c>
      <c r="J36" s="11" t="str">
        <f t="shared" si="2"/>
        <v>2</v>
      </c>
      <c r="K36" s="11">
        <v>5</v>
      </c>
      <c r="N36" s="4">
        <f t="shared" si="3"/>
        <v>3</v>
      </c>
      <c r="O36" s="4"/>
    </row>
    <row r="37" spans="1:15" x14ac:dyDescent="0.3">
      <c r="A37" t="s">
        <v>229</v>
      </c>
      <c r="B37" t="s">
        <v>87</v>
      </c>
      <c r="C37">
        <v>485</v>
      </c>
      <c r="D37">
        <v>18.760000000000002</v>
      </c>
      <c r="E37">
        <v>40.909999999999997</v>
      </c>
      <c r="F37">
        <f t="shared" si="1"/>
        <v>29.835000000000001</v>
      </c>
      <c r="G37">
        <v>3</v>
      </c>
      <c r="H37">
        <v>16</v>
      </c>
      <c r="I37">
        <v>8</v>
      </c>
      <c r="J37" s="11" t="str">
        <f t="shared" si="2"/>
        <v>2</v>
      </c>
      <c r="K37" s="11">
        <v>5</v>
      </c>
      <c r="N37" s="4">
        <f t="shared" si="3"/>
        <v>3</v>
      </c>
      <c r="O37" s="4"/>
    </row>
    <row r="38" spans="1:15" x14ac:dyDescent="0.3">
      <c r="A38" t="s">
        <v>230</v>
      </c>
      <c r="B38" t="s">
        <v>89</v>
      </c>
      <c r="C38">
        <v>1705</v>
      </c>
      <c r="D38">
        <v>23.17</v>
      </c>
      <c r="E38">
        <v>67.73</v>
      </c>
      <c r="F38">
        <f t="shared" si="1"/>
        <v>45.45</v>
      </c>
      <c r="G38">
        <v>16</v>
      </c>
      <c r="H38">
        <v>5</v>
      </c>
      <c r="I38">
        <v>4</v>
      </c>
      <c r="J38" s="11" t="str">
        <f t="shared" si="2"/>
        <v>3</v>
      </c>
      <c r="K38" s="11">
        <v>5</v>
      </c>
      <c r="N38" s="4">
        <f t="shared" si="3"/>
        <v>2</v>
      </c>
      <c r="O38" s="4"/>
    </row>
    <row r="39" spans="1:15" x14ac:dyDescent="0.3">
      <c r="A39" t="s">
        <v>231</v>
      </c>
      <c r="B39" t="s">
        <v>91</v>
      </c>
      <c r="C39">
        <v>204</v>
      </c>
      <c r="D39">
        <v>18.63</v>
      </c>
      <c r="E39">
        <v>57.14</v>
      </c>
      <c r="F39">
        <f t="shared" si="1"/>
        <v>37.884999999999998</v>
      </c>
      <c r="G39">
        <v>8</v>
      </c>
      <c r="H39">
        <v>5</v>
      </c>
      <c r="I39">
        <v>3</v>
      </c>
      <c r="J39" s="11" t="str">
        <f t="shared" si="2"/>
        <v>2</v>
      </c>
      <c r="K39" s="11">
        <v>5</v>
      </c>
      <c r="N39" s="4">
        <f t="shared" si="3"/>
        <v>3</v>
      </c>
      <c r="O39" s="4"/>
    </row>
    <row r="40" spans="1:15" x14ac:dyDescent="0.3">
      <c r="A40" t="s">
        <v>232</v>
      </c>
      <c r="B40" t="s">
        <v>93</v>
      </c>
      <c r="C40">
        <v>155</v>
      </c>
      <c r="D40">
        <v>9.0299999999999994</v>
      </c>
      <c r="E40">
        <v>76.92</v>
      </c>
      <c r="F40">
        <f t="shared" si="1"/>
        <v>42.975000000000001</v>
      </c>
      <c r="G40">
        <v>3</v>
      </c>
      <c r="H40">
        <v>16</v>
      </c>
      <c r="I40">
        <v>12</v>
      </c>
      <c r="J40" s="11" t="str">
        <f t="shared" si="2"/>
        <v>3</v>
      </c>
      <c r="K40" s="11">
        <v>5</v>
      </c>
      <c r="N40" s="4">
        <f t="shared" si="3"/>
        <v>2</v>
      </c>
      <c r="O40" s="4"/>
    </row>
    <row r="41" spans="1:15" x14ac:dyDescent="0.3">
      <c r="A41" t="s">
        <v>233</v>
      </c>
      <c r="B41" t="s">
        <v>95</v>
      </c>
      <c r="C41">
        <v>241</v>
      </c>
      <c r="D41">
        <v>5.81</v>
      </c>
      <c r="E41">
        <v>75</v>
      </c>
      <c r="F41">
        <f t="shared" si="1"/>
        <v>40.405000000000001</v>
      </c>
      <c r="G41">
        <v>3</v>
      </c>
      <c r="H41">
        <v>5</v>
      </c>
      <c r="I41">
        <v>16</v>
      </c>
      <c r="J41" s="11" t="str">
        <f t="shared" si="2"/>
        <v>3</v>
      </c>
      <c r="K41" s="11">
        <v>5</v>
      </c>
      <c r="N41" s="4">
        <f t="shared" si="3"/>
        <v>2</v>
      </c>
      <c r="O41" s="4"/>
    </row>
    <row r="42" spans="1:15" x14ac:dyDescent="0.3">
      <c r="A42" t="s">
        <v>234</v>
      </c>
      <c r="B42" t="s">
        <v>97</v>
      </c>
      <c r="C42">
        <v>94</v>
      </c>
      <c r="D42">
        <v>57.45</v>
      </c>
      <c r="E42">
        <v>51.06</v>
      </c>
      <c r="F42">
        <f t="shared" si="1"/>
        <v>54.255000000000003</v>
      </c>
      <c r="G42">
        <v>16</v>
      </c>
      <c r="H42">
        <v>13</v>
      </c>
      <c r="I42">
        <v>15</v>
      </c>
      <c r="J42" s="11" t="str">
        <f t="shared" si="2"/>
        <v>3</v>
      </c>
      <c r="K42" s="11">
        <v>5</v>
      </c>
      <c r="N42" s="4">
        <f t="shared" si="3"/>
        <v>2</v>
      </c>
      <c r="O42" s="4"/>
    </row>
    <row r="43" spans="1:15" x14ac:dyDescent="0.3">
      <c r="A43" t="s">
        <v>235</v>
      </c>
      <c r="B43" t="s">
        <v>99</v>
      </c>
      <c r="C43">
        <v>317</v>
      </c>
      <c r="D43">
        <v>9.7799999999999994</v>
      </c>
      <c r="E43">
        <v>44</v>
      </c>
      <c r="F43">
        <f t="shared" si="1"/>
        <v>26.89</v>
      </c>
      <c r="G43">
        <v>8</v>
      </c>
      <c r="H43">
        <v>16</v>
      </c>
      <c r="I43">
        <v>9</v>
      </c>
      <c r="J43" s="11" t="str">
        <f t="shared" si="2"/>
        <v>2</v>
      </c>
      <c r="K43" s="11">
        <v>5</v>
      </c>
      <c r="N43" s="4">
        <f t="shared" si="3"/>
        <v>3</v>
      </c>
      <c r="O43" s="4"/>
    </row>
    <row r="44" spans="1:15" x14ac:dyDescent="0.3">
      <c r="A44" t="s">
        <v>236</v>
      </c>
      <c r="B44" t="s">
        <v>101</v>
      </c>
      <c r="C44">
        <v>523</v>
      </c>
      <c r="D44">
        <v>9.3699999999999992</v>
      </c>
      <c r="E44">
        <v>39.47</v>
      </c>
      <c r="F44">
        <f t="shared" si="1"/>
        <v>24.419999999999998</v>
      </c>
      <c r="G44">
        <v>8</v>
      </c>
      <c r="H44">
        <v>9</v>
      </c>
      <c r="I44">
        <v>16</v>
      </c>
      <c r="J44" s="11" t="str">
        <f t="shared" si="2"/>
        <v>2</v>
      </c>
      <c r="K44" s="11">
        <v>5</v>
      </c>
      <c r="N44" s="4">
        <f t="shared" si="3"/>
        <v>3</v>
      </c>
      <c r="O44" s="4"/>
    </row>
    <row r="45" spans="1:15" x14ac:dyDescent="0.3">
      <c r="A45" t="s">
        <v>237</v>
      </c>
      <c r="B45" t="s">
        <v>103</v>
      </c>
      <c r="C45">
        <v>416</v>
      </c>
      <c r="D45">
        <v>9.6199999999999992</v>
      </c>
      <c r="E45">
        <v>44.83</v>
      </c>
      <c r="F45">
        <f t="shared" si="1"/>
        <v>27.224999999999998</v>
      </c>
      <c r="G45">
        <v>9</v>
      </c>
      <c r="H45">
        <v>8</v>
      </c>
      <c r="I45">
        <v>16</v>
      </c>
      <c r="J45" s="11" t="str">
        <f t="shared" si="2"/>
        <v>2</v>
      </c>
      <c r="K45" s="11">
        <v>5</v>
      </c>
      <c r="N45" s="4">
        <f t="shared" si="3"/>
        <v>3</v>
      </c>
      <c r="O45" s="4"/>
    </row>
    <row r="46" spans="1:15" x14ac:dyDescent="0.3">
      <c r="A46" t="s">
        <v>238</v>
      </c>
      <c r="B46" t="s">
        <v>105</v>
      </c>
      <c r="C46">
        <v>126</v>
      </c>
      <c r="D46">
        <v>73.81</v>
      </c>
      <c r="E46">
        <v>89.47</v>
      </c>
      <c r="F46">
        <f t="shared" si="1"/>
        <v>81.64</v>
      </c>
      <c r="G46">
        <v>2</v>
      </c>
      <c r="H46">
        <v>4</v>
      </c>
      <c r="I46">
        <v>3</v>
      </c>
      <c r="J46" s="11" t="str">
        <f t="shared" si="2"/>
        <v>5</v>
      </c>
      <c r="K46" s="11">
        <v>5</v>
      </c>
      <c r="N46" s="4">
        <f t="shared" si="3"/>
        <v>0</v>
      </c>
      <c r="O46" s="4"/>
    </row>
    <row r="47" spans="1:15" x14ac:dyDescent="0.3">
      <c r="A47" t="s">
        <v>239</v>
      </c>
      <c r="B47" t="s">
        <v>107</v>
      </c>
      <c r="C47">
        <v>289</v>
      </c>
      <c r="D47">
        <v>15.92</v>
      </c>
      <c r="E47">
        <v>61.29</v>
      </c>
      <c r="F47">
        <f t="shared" si="1"/>
        <v>38.604999999999997</v>
      </c>
      <c r="G47">
        <v>16</v>
      </c>
      <c r="H47">
        <v>8</v>
      </c>
      <c r="I47">
        <v>3</v>
      </c>
      <c r="J47" s="11" t="str">
        <f t="shared" si="2"/>
        <v>2</v>
      </c>
      <c r="K47" s="11">
        <v>5</v>
      </c>
      <c r="N47" s="4">
        <f t="shared" si="3"/>
        <v>3</v>
      </c>
      <c r="O47" s="4"/>
    </row>
    <row r="48" spans="1:15" x14ac:dyDescent="0.3">
      <c r="A48" t="s">
        <v>240</v>
      </c>
      <c r="B48" t="s">
        <v>109</v>
      </c>
      <c r="C48">
        <v>337</v>
      </c>
      <c r="D48">
        <v>18.690000000000001</v>
      </c>
      <c r="E48">
        <v>44.19</v>
      </c>
      <c r="F48">
        <f t="shared" si="1"/>
        <v>31.439999999999998</v>
      </c>
      <c r="G48">
        <v>16</v>
      </c>
      <c r="H48">
        <v>3</v>
      </c>
      <c r="I48">
        <v>8</v>
      </c>
      <c r="J48" s="11" t="str">
        <f t="shared" si="2"/>
        <v>2</v>
      </c>
      <c r="K48" s="11">
        <v>5</v>
      </c>
      <c r="N48" s="4">
        <f t="shared" si="3"/>
        <v>3</v>
      </c>
      <c r="O48" s="4"/>
    </row>
    <row r="49" spans="1:15" x14ac:dyDescent="0.3">
      <c r="A49" t="s">
        <v>241</v>
      </c>
      <c r="B49" t="s">
        <v>111</v>
      </c>
      <c r="C49">
        <v>193</v>
      </c>
      <c r="D49">
        <v>10.36</v>
      </c>
      <c r="E49">
        <v>46.67</v>
      </c>
      <c r="F49">
        <f t="shared" si="1"/>
        <v>28.515000000000001</v>
      </c>
      <c r="G49">
        <v>3</v>
      </c>
      <c r="H49">
        <v>9</v>
      </c>
      <c r="I49">
        <v>16</v>
      </c>
      <c r="J49" s="11" t="str">
        <f t="shared" si="2"/>
        <v>2</v>
      </c>
      <c r="K49" s="11">
        <v>5</v>
      </c>
      <c r="N49" s="4">
        <f t="shared" si="3"/>
        <v>3</v>
      </c>
      <c r="O49" s="4"/>
    </row>
    <row r="50" spans="1:15" x14ac:dyDescent="0.3">
      <c r="A50" t="s">
        <v>242</v>
      </c>
      <c r="B50" t="s">
        <v>113</v>
      </c>
      <c r="C50">
        <v>291</v>
      </c>
      <c r="D50">
        <v>8.59</v>
      </c>
      <c r="E50">
        <v>50</v>
      </c>
      <c r="F50">
        <f t="shared" si="1"/>
        <v>29.295000000000002</v>
      </c>
      <c r="G50">
        <v>9</v>
      </c>
      <c r="H50">
        <v>3</v>
      </c>
      <c r="I50">
        <v>12</v>
      </c>
      <c r="J50" s="11" t="str">
        <f t="shared" si="2"/>
        <v>2</v>
      </c>
      <c r="K50" s="11">
        <v>5</v>
      </c>
      <c r="N50" s="4">
        <f t="shared" si="3"/>
        <v>3</v>
      </c>
      <c r="O50" s="4"/>
    </row>
    <row r="51" spans="1:15" x14ac:dyDescent="0.3">
      <c r="A51" t="s">
        <v>243</v>
      </c>
      <c r="B51" t="s">
        <v>115</v>
      </c>
      <c r="C51">
        <v>229</v>
      </c>
      <c r="D51">
        <v>17.47</v>
      </c>
      <c r="E51">
        <v>44</v>
      </c>
      <c r="F51">
        <f t="shared" si="1"/>
        <v>30.734999999999999</v>
      </c>
      <c r="G51">
        <v>16</v>
      </c>
      <c r="H51">
        <v>9</v>
      </c>
      <c r="I51">
        <v>10</v>
      </c>
      <c r="J51" s="11" t="str">
        <f t="shared" si="2"/>
        <v>2</v>
      </c>
      <c r="K51" s="11">
        <v>5</v>
      </c>
      <c r="N51" s="4">
        <f t="shared" si="3"/>
        <v>3</v>
      </c>
      <c r="O51" s="4"/>
    </row>
    <row r="52" spans="1:15" x14ac:dyDescent="0.3">
      <c r="A52" t="s">
        <v>244</v>
      </c>
      <c r="B52" t="s">
        <v>117</v>
      </c>
      <c r="C52">
        <v>166</v>
      </c>
      <c r="D52">
        <v>25.9</v>
      </c>
      <c r="E52">
        <v>40.54</v>
      </c>
      <c r="F52">
        <f t="shared" si="1"/>
        <v>33.22</v>
      </c>
      <c r="G52">
        <v>12</v>
      </c>
      <c r="H52">
        <v>9</v>
      </c>
      <c r="I52">
        <v>3</v>
      </c>
      <c r="J52" s="11" t="str">
        <f t="shared" si="2"/>
        <v>2</v>
      </c>
      <c r="K52" s="11">
        <v>5</v>
      </c>
      <c r="N52" s="4">
        <f t="shared" si="3"/>
        <v>3</v>
      </c>
      <c r="O52" s="4"/>
    </row>
    <row r="53" spans="1:15" x14ac:dyDescent="0.3">
      <c r="A53" t="s">
        <v>245</v>
      </c>
      <c r="B53" t="s">
        <v>246</v>
      </c>
      <c r="C53">
        <v>2</v>
      </c>
      <c r="D53">
        <v>50</v>
      </c>
      <c r="E53">
        <v>100</v>
      </c>
      <c r="F53">
        <f t="shared" si="1"/>
        <v>75</v>
      </c>
      <c r="G53">
        <v>3</v>
      </c>
      <c r="J53" s="11" t="str">
        <f t="shared" si="2"/>
        <v>4</v>
      </c>
      <c r="K53" s="11">
        <v>5</v>
      </c>
      <c r="N53" s="4">
        <f t="shared" si="3"/>
        <v>1</v>
      </c>
      <c r="O53" s="4"/>
    </row>
    <row r="54" spans="1:15" x14ac:dyDescent="0.3">
      <c r="A54" t="s">
        <v>247</v>
      </c>
      <c r="B54" t="s">
        <v>119</v>
      </c>
      <c r="C54">
        <v>33</v>
      </c>
      <c r="D54">
        <v>69.7</v>
      </c>
      <c r="E54">
        <v>67.739999999999995</v>
      </c>
      <c r="F54">
        <f t="shared" si="1"/>
        <v>68.72</v>
      </c>
      <c r="G54">
        <v>7</v>
      </c>
      <c r="H54">
        <v>13</v>
      </c>
      <c r="I54">
        <v>15</v>
      </c>
      <c r="J54" s="11" t="str">
        <f t="shared" si="2"/>
        <v>4</v>
      </c>
      <c r="K54" s="11">
        <v>5</v>
      </c>
      <c r="N54" s="4">
        <f t="shared" si="3"/>
        <v>1</v>
      </c>
      <c r="O54" s="4"/>
    </row>
    <row r="55" spans="1:15" x14ac:dyDescent="0.3">
      <c r="A55" t="s">
        <v>248</v>
      </c>
      <c r="B55" t="s">
        <v>121</v>
      </c>
      <c r="C55">
        <v>92</v>
      </c>
      <c r="D55">
        <v>34.78</v>
      </c>
      <c r="E55">
        <v>58.06</v>
      </c>
      <c r="F55">
        <f t="shared" si="1"/>
        <v>46.42</v>
      </c>
      <c r="G55">
        <v>13</v>
      </c>
      <c r="H55">
        <v>7</v>
      </c>
      <c r="I55">
        <v>8</v>
      </c>
      <c r="J55" s="11" t="str">
        <f t="shared" si="2"/>
        <v>3</v>
      </c>
      <c r="K55" s="11">
        <v>5</v>
      </c>
      <c r="N55" s="4">
        <f t="shared" si="3"/>
        <v>2</v>
      </c>
      <c r="O55" s="4"/>
    </row>
    <row r="56" spans="1:15" x14ac:dyDescent="0.3">
      <c r="A56" t="s">
        <v>249</v>
      </c>
      <c r="B56" t="s">
        <v>4</v>
      </c>
      <c r="C56">
        <v>7</v>
      </c>
      <c r="D56">
        <v>14.29</v>
      </c>
      <c r="E56">
        <v>100</v>
      </c>
      <c r="F56">
        <f t="shared" si="1"/>
        <v>57.144999999999996</v>
      </c>
      <c r="G56">
        <v>3</v>
      </c>
      <c r="J56" s="11" t="str">
        <f t="shared" si="2"/>
        <v>3</v>
      </c>
      <c r="K56" s="11">
        <v>5</v>
      </c>
      <c r="N56" s="4">
        <f t="shared" si="3"/>
        <v>2</v>
      </c>
      <c r="O56" s="4"/>
    </row>
    <row r="57" spans="1:15" x14ac:dyDescent="0.3">
      <c r="A57" t="s">
        <v>250</v>
      </c>
      <c r="B57" t="s">
        <v>124</v>
      </c>
      <c r="C57">
        <v>472</v>
      </c>
      <c r="D57">
        <v>51.69</v>
      </c>
      <c r="E57">
        <v>47.17</v>
      </c>
      <c r="F57">
        <f t="shared" si="1"/>
        <v>49.43</v>
      </c>
      <c r="G57">
        <v>15</v>
      </c>
      <c r="H57">
        <v>11</v>
      </c>
      <c r="I57">
        <v>13</v>
      </c>
      <c r="J57" s="11" t="str">
        <f t="shared" si="2"/>
        <v>3</v>
      </c>
      <c r="K57" s="11">
        <v>5</v>
      </c>
      <c r="N57" s="4">
        <f t="shared" si="3"/>
        <v>2</v>
      </c>
      <c r="O57" s="4"/>
    </row>
    <row r="58" spans="1:15" x14ac:dyDescent="0.3">
      <c r="A58" t="s">
        <v>251</v>
      </c>
      <c r="B58" t="s">
        <v>126</v>
      </c>
      <c r="C58">
        <v>44</v>
      </c>
      <c r="D58">
        <v>54.55</v>
      </c>
      <c r="E58">
        <v>69.569999999999993</v>
      </c>
      <c r="F58">
        <f t="shared" si="1"/>
        <v>62.059999999999995</v>
      </c>
      <c r="G58">
        <v>16</v>
      </c>
      <c r="H58">
        <v>4</v>
      </c>
      <c r="I58">
        <v>7</v>
      </c>
      <c r="J58" s="11" t="str">
        <f t="shared" si="2"/>
        <v>4</v>
      </c>
      <c r="K58" s="11">
        <v>5</v>
      </c>
      <c r="N58" s="4">
        <f t="shared" si="3"/>
        <v>1</v>
      </c>
      <c r="O58" s="4"/>
    </row>
    <row r="59" spans="1:15" x14ac:dyDescent="0.3">
      <c r="A59" t="s">
        <v>252</v>
      </c>
      <c r="B59" t="s">
        <v>128</v>
      </c>
      <c r="C59">
        <v>843</v>
      </c>
      <c r="D59">
        <v>71.89</v>
      </c>
      <c r="E59">
        <v>56.48</v>
      </c>
      <c r="F59">
        <f t="shared" si="1"/>
        <v>64.185000000000002</v>
      </c>
      <c r="G59">
        <v>15</v>
      </c>
      <c r="H59">
        <v>11</v>
      </c>
      <c r="I59">
        <v>14</v>
      </c>
      <c r="J59" s="11" t="str">
        <f t="shared" si="2"/>
        <v>4</v>
      </c>
      <c r="K59" s="11">
        <v>5</v>
      </c>
      <c r="N59" s="4">
        <f t="shared" si="3"/>
        <v>1</v>
      </c>
      <c r="O59" s="4"/>
    </row>
    <row r="60" spans="1:15" x14ac:dyDescent="0.3">
      <c r="A60" t="s">
        <v>253</v>
      </c>
      <c r="B60" t="s">
        <v>130</v>
      </c>
      <c r="C60">
        <v>6</v>
      </c>
      <c r="D60">
        <v>16.670000000000002</v>
      </c>
      <c r="E60">
        <v>100</v>
      </c>
      <c r="F60">
        <f t="shared" si="1"/>
        <v>58.335000000000001</v>
      </c>
      <c r="G60">
        <v>3</v>
      </c>
      <c r="J60" s="11" t="str">
        <f t="shared" si="2"/>
        <v>3</v>
      </c>
      <c r="K60" s="11">
        <v>5</v>
      </c>
      <c r="N60" s="4">
        <f t="shared" si="3"/>
        <v>2</v>
      </c>
      <c r="O60" s="4"/>
    </row>
    <row r="61" spans="1:15" x14ac:dyDescent="0.3">
      <c r="A61" t="s">
        <v>254</v>
      </c>
      <c r="B61" t="s">
        <v>132</v>
      </c>
      <c r="C61">
        <v>1212</v>
      </c>
      <c r="D61">
        <v>10.31</v>
      </c>
      <c r="E61">
        <v>40.28</v>
      </c>
      <c r="F61">
        <f t="shared" si="1"/>
        <v>25.295000000000002</v>
      </c>
      <c r="G61">
        <v>8</v>
      </c>
      <c r="H61">
        <v>9</v>
      </c>
      <c r="I61">
        <v>3</v>
      </c>
      <c r="J61" s="11" t="str">
        <f t="shared" si="2"/>
        <v>2</v>
      </c>
      <c r="K61" s="11">
        <v>5</v>
      </c>
      <c r="N61" s="4">
        <f t="shared" si="3"/>
        <v>3</v>
      </c>
      <c r="O61" s="4"/>
    </row>
    <row r="62" spans="1:15" x14ac:dyDescent="0.3">
      <c r="A62" t="s">
        <v>255</v>
      </c>
      <c r="B62" t="s">
        <v>134</v>
      </c>
      <c r="C62">
        <v>17</v>
      </c>
      <c r="D62">
        <v>5.88</v>
      </c>
      <c r="E62">
        <v>100</v>
      </c>
      <c r="F62">
        <f t="shared" si="1"/>
        <v>52.94</v>
      </c>
      <c r="G62">
        <v>3</v>
      </c>
      <c r="J62" s="11" t="str">
        <f t="shared" si="2"/>
        <v>3</v>
      </c>
      <c r="K62" s="11">
        <v>5</v>
      </c>
      <c r="N62" s="4">
        <f t="shared" si="3"/>
        <v>2</v>
      </c>
      <c r="O62" s="4"/>
    </row>
    <row r="63" spans="1:15" x14ac:dyDescent="0.3">
      <c r="A63" t="s">
        <v>256</v>
      </c>
      <c r="B63" t="s">
        <v>257</v>
      </c>
      <c r="C63">
        <v>475</v>
      </c>
      <c r="D63">
        <v>21.05</v>
      </c>
      <c r="E63">
        <v>40.619999999999997</v>
      </c>
      <c r="F63">
        <f t="shared" si="1"/>
        <v>30.835000000000001</v>
      </c>
      <c r="G63">
        <v>12</v>
      </c>
      <c r="H63">
        <v>3</v>
      </c>
      <c r="I63">
        <v>9</v>
      </c>
      <c r="J63" s="11" t="str">
        <f t="shared" si="2"/>
        <v>2</v>
      </c>
      <c r="K63" s="11">
        <v>5</v>
      </c>
      <c r="N63" s="4">
        <f t="shared" si="3"/>
        <v>3</v>
      </c>
      <c r="O63" s="4"/>
    </row>
    <row r="64" spans="1:15" x14ac:dyDescent="0.3">
      <c r="A64" t="s">
        <v>258</v>
      </c>
      <c r="B64" t="s">
        <v>257</v>
      </c>
      <c r="C64">
        <v>222</v>
      </c>
      <c r="D64">
        <v>18.02</v>
      </c>
      <c r="E64">
        <v>42.86</v>
      </c>
      <c r="F64">
        <f t="shared" si="1"/>
        <v>30.439999999999998</v>
      </c>
      <c r="G64">
        <v>7</v>
      </c>
      <c r="H64">
        <v>12</v>
      </c>
      <c r="I64">
        <v>3</v>
      </c>
      <c r="J64" s="11" t="str">
        <f t="shared" si="2"/>
        <v>2</v>
      </c>
      <c r="K64" s="11">
        <v>5</v>
      </c>
      <c r="N64" s="4">
        <f t="shared" si="3"/>
        <v>3</v>
      </c>
      <c r="O64" s="4"/>
    </row>
    <row r="65" spans="1:15" x14ac:dyDescent="0.3">
      <c r="A65" t="s">
        <v>259</v>
      </c>
      <c r="B65" t="s">
        <v>136</v>
      </c>
      <c r="C65">
        <v>81</v>
      </c>
      <c r="D65">
        <v>81.48</v>
      </c>
      <c r="E65">
        <v>38.78</v>
      </c>
      <c r="F65">
        <f t="shared" si="1"/>
        <v>60.13</v>
      </c>
      <c r="G65">
        <v>15</v>
      </c>
      <c r="H65">
        <v>13</v>
      </c>
      <c r="I65">
        <v>11</v>
      </c>
      <c r="J65" s="11" t="str">
        <f t="shared" si="2"/>
        <v>4</v>
      </c>
      <c r="K65" s="11">
        <v>5</v>
      </c>
      <c r="N65" s="4">
        <f t="shared" si="3"/>
        <v>1</v>
      </c>
      <c r="O65" s="4"/>
    </row>
    <row r="66" spans="1:15" x14ac:dyDescent="0.3">
      <c r="A66" t="s">
        <v>260</v>
      </c>
      <c r="B66" t="s">
        <v>3</v>
      </c>
      <c r="C66">
        <v>211</v>
      </c>
      <c r="D66">
        <v>70.14</v>
      </c>
      <c r="E66">
        <v>38.21</v>
      </c>
      <c r="F66">
        <f t="shared" si="1"/>
        <v>54.174999999999997</v>
      </c>
      <c r="G66">
        <v>15</v>
      </c>
      <c r="H66">
        <v>2</v>
      </c>
      <c r="I66">
        <v>13</v>
      </c>
      <c r="J66" s="11" t="str">
        <f t="shared" si="2"/>
        <v>3</v>
      </c>
      <c r="K66" s="11">
        <v>5</v>
      </c>
      <c r="N66" s="4">
        <f t="shared" ref="N66:N90" si="4">ABS(J66-K66)</f>
        <v>2</v>
      </c>
      <c r="O66" s="4"/>
    </row>
    <row r="67" spans="1:15" x14ac:dyDescent="0.3">
      <c r="A67" t="s">
        <v>261</v>
      </c>
      <c r="B67" t="s">
        <v>139</v>
      </c>
      <c r="C67">
        <v>241</v>
      </c>
      <c r="D67">
        <v>10.37</v>
      </c>
      <c r="E67">
        <v>54.55</v>
      </c>
      <c r="F67">
        <f t="shared" ref="F67:F90" si="5">$Q$1*D67+$R$1*E67</f>
        <v>32.46</v>
      </c>
      <c r="G67">
        <v>16</v>
      </c>
      <c r="H67">
        <v>5</v>
      </c>
      <c r="I67">
        <v>3</v>
      </c>
      <c r="J67" s="11" t="str">
        <f>IF(F67&gt;$U$1,"5",IF(F67&gt;$V$1,"4",IF(F67&gt;$W$1,"3",IF(F67&gt;$X$1,"2",IF(F67&gt;$Y$1,"1",IF(F67&gt;$Z$1,"0"))))))</f>
        <v>2</v>
      </c>
      <c r="K67" s="11">
        <v>5</v>
      </c>
      <c r="N67" s="4">
        <f t="shared" si="4"/>
        <v>3</v>
      </c>
      <c r="O67" s="4"/>
    </row>
    <row r="68" spans="1:15" x14ac:dyDescent="0.3">
      <c r="A68" t="s">
        <v>262</v>
      </c>
      <c r="B68" t="s">
        <v>141</v>
      </c>
      <c r="C68">
        <v>119</v>
      </c>
      <c r="D68">
        <v>28.57</v>
      </c>
      <c r="E68">
        <v>40.909999999999997</v>
      </c>
      <c r="F68">
        <f t="shared" si="5"/>
        <v>34.739999999999995</v>
      </c>
      <c r="G68">
        <v>7</v>
      </c>
      <c r="H68">
        <v>13</v>
      </c>
      <c r="I68">
        <v>11</v>
      </c>
      <c r="J68" s="11" t="str">
        <f>IF(F68&gt;$U$1,"5",IF(F68&gt;$V$1,"4",IF(F68&gt;$W$1,"3",IF(F68&gt;$X$1,"2",IF(F68&gt;$Y$1,"1",IF(F68&gt;$Z$1,"0"))))))</f>
        <v>2</v>
      </c>
      <c r="K68" s="11">
        <v>5</v>
      </c>
      <c r="L68" s="11"/>
      <c r="N68" s="4">
        <f t="shared" si="4"/>
        <v>3</v>
      </c>
      <c r="O68" s="4"/>
    </row>
    <row r="69" spans="1:15" x14ac:dyDescent="0.3">
      <c r="A69" t="s">
        <v>263</v>
      </c>
      <c r="B69" t="s">
        <v>143</v>
      </c>
      <c r="C69">
        <v>65</v>
      </c>
      <c r="D69">
        <v>4.62</v>
      </c>
      <c r="E69">
        <v>50</v>
      </c>
      <c r="F69">
        <f t="shared" si="5"/>
        <v>27.31</v>
      </c>
      <c r="G69">
        <v>10</v>
      </c>
      <c r="H69">
        <v>13</v>
      </c>
      <c r="I69">
        <v>7</v>
      </c>
      <c r="J69" s="11" t="str">
        <f>IF(F69&gt;$U$1,"5",IF(F69&gt;$V$1,"4",IF(F69&gt;$W$1,"3",IF(F69&gt;$X$1,"2",IF(F69&gt;$Y$1,"1",IF(F69&gt;$Z$1,"0"))))))</f>
        <v>2</v>
      </c>
      <c r="K69" s="11">
        <v>5</v>
      </c>
      <c r="L69" s="11"/>
      <c r="N69" s="4">
        <f t="shared" si="4"/>
        <v>3</v>
      </c>
      <c r="O69" s="4"/>
    </row>
    <row r="70" spans="1:15" x14ac:dyDescent="0.3">
      <c r="A70" t="s">
        <v>264</v>
      </c>
      <c r="B70" t="s">
        <v>145</v>
      </c>
      <c r="C70">
        <v>62</v>
      </c>
      <c r="D70">
        <v>14.52</v>
      </c>
      <c r="E70">
        <v>42.86</v>
      </c>
      <c r="F70">
        <f t="shared" si="5"/>
        <v>28.689999999999998</v>
      </c>
      <c r="G70">
        <v>16</v>
      </c>
      <c r="H70">
        <v>8</v>
      </c>
      <c r="I70">
        <v>5</v>
      </c>
      <c r="J70" s="11" t="str">
        <f>IF(F70&gt;$U$1,"5",IF(F70&gt;$V$1,"4",IF(F70&gt;$W$1,"3",IF(F70&gt;$X$1,"2",IF(F70&gt;$Y$1,"1",IF(F70&gt;$Z$1,"0"))))))</f>
        <v>2</v>
      </c>
      <c r="K70" s="11">
        <v>5</v>
      </c>
      <c r="N70" s="4">
        <f t="shared" si="4"/>
        <v>3</v>
      </c>
      <c r="O70" s="4"/>
    </row>
    <row r="71" spans="1:15" x14ac:dyDescent="0.3">
      <c r="A71" t="s">
        <v>265</v>
      </c>
      <c r="B71" t="s">
        <v>147</v>
      </c>
      <c r="C71">
        <v>398</v>
      </c>
      <c r="D71">
        <v>13.57</v>
      </c>
      <c r="E71">
        <v>55.26</v>
      </c>
      <c r="F71">
        <f t="shared" si="5"/>
        <v>34.414999999999999</v>
      </c>
      <c r="G71">
        <v>16</v>
      </c>
      <c r="H71">
        <v>10</v>
      </c>
      <c r="I71">
        <v>5</v>
      </c>
      <c r="J71" s="11" t="str">
        <f>IF(F71&gt;$U$1,"5",IF(F71&gt;$V$1,"4",IF(F71&gt;$W$1,"3",IF(F71&gt;$X$1,"2",IF(F71&gt;$Y$1,"1",IF(F71&gt;$Z$1,"0"))))))</f>
        <v>2</v>
      </c>
      <c r="K71" s="11">
        <v>5</v>
      </c>
      <c r="N71" s="4">
        <f t="shared" si="4"/>
        <v>3</v>
      </c>
      <c r="O71" s="4"/>
    </row>
    <row r="72" spans="1:15" x14ac:dyDescent="0.3">
      <c r="A72" t="s">
        <v>266</v>
      </c>
      <c r="B72" t="s">
        <v>149</v>
      </c>
      <c r="C72">
        <v>627</v>
      </c>
      <c r="D72">
        <v>16.11</v>
      </c>
      <c r="E72">
        <v>38.1</v>
      </c>
      <c r="F72">
        <f t="shared" si="5"/>
        <v>27.105</v>
      </c>
      <c r="G72">
        <v>3</v>
      </c>
      <c r="H72">
        <v>12</v>
      </c>
      <c r="I72">
        <v>9</v>
      </c>
      <c r="J72" s="11" t="str">
        <f>IF(F72&gt;$U$1,"5",IF(F72&gt;$V$1,"4",IF(F72&gt;$W$1,"3",IF(F72&gt;$X$1,"2",IF(F72&gt;$Y$1,"1",IF(F72&gt;$Z$1,"0"))))))</f>
        <v>2</v>
      </c>
      <c r="K72" s="11">
        <v>5</v>
      </c>
      <c r="N72" s="4">
        <f t="shared" si="4"/>
        <v>3</v>
      </c>
      <c r="O72" s="4"/>
    </row>
    <row r="73" spans="1:15" x14ac:dyDescent="0.3">
      <c r="A73" t="s">
        <v>267</v>
      </c>
      <c r="B73" t="s">
        <v>151</v>
      </c>
      <c r="C73">
        <v>597</v>
      </c>
      <c r="D73">
        <v>28.98</v>
      </c>
      <c r="E73">
        <v>43.52</v>
      </c>
      <c r="F73">
        <f t="shared" si="5"/>
        <v>36.25</v>
      </c>
      <c r="G73">
        <v>7</v>
      </c>
      <c r="H73">
        <v>3</v>
      </c>
      <c r="I73">
        <v>12</v>
      </c>
      <c r="J73" s="11" t="str">
        <f>IF(F73&gt;$U$1,"5",IF(F73&gt;$V$1,"4",IF(F73&gt;$W$1,"3",IF(F73&gt;$X$1,"2",IF(F73&gt;$Y$1,"1",IF(F73&gt;$Z$1,"0"))))))</f>
        <v>2</v>
      </c>
      <c r="K73" s="11">
        <v>5</v>
      </c>
      <c r="N73" s="4">
        <f t="shared" si="4"/>
        <v>3</v>
      </c>
      <c r="O73" s="4"/>
    </row>
    <row r="74" spans="1:15" x14ac:dyDescent="0.3">
      <c r="A74" t="s">
        <v>268</v>
      </c>
      <c r="B74" t="s">
        <v>153</v>
      </c>
      <c r="C74">
        <v>116</v>
      </c>
      <c r="D74">
        <v>37.93</v>
      </c>
      <c r="E74">
        <v>54.84</v>
      </c>
      <c r="F74">
        <f t="shared" si="5"/>
        <v>46.385000000000005</v>
      </c>
      <c r="G74">
        <v>8</v>
      </c>
      <c r="H74">
        <v>16</v>
      </c>
      <c r="I74">
        <v>10</v>
      </c>
      <c r="J74" s="11" t="str">
        <f>IF(F74&gt;$U$1,"5",IF(F74&gt;$V$1,"4",IF(F74&gt;$W$1,"3",IF(F74&gt;$X$1,"2",IF(F74&gt;$Y$1,"1",IF(F74&gt;$Z$1,"0"))))))</f>
        <v>3</v>
      </c>
      <c r="K74" s="11">
        <v>5</v>
      </c>
      <c r="N74" s="4">
        <f t="shared" si="4"/>
        <v>2</v>
      </c>
      <c r="O74" s="4"/>
    </row>
    <row r="75" spans="1:15" x14ac:dyDescent="0.3">
      <c r="A75" t="s">
        <v>269</v>
      </c>
      <c r="B75" t="s">
        <v>155</v>
      </c>
      <c r="C75">
        <v>180</v>
      </c>
      <c r="D75">
        <v>2.2200000000000002</v>
      </c>
      <c r="E75">
        <v>75</v>
      </c>
      <c r="F75">
        <f t="shared" si="5"/>
        <v>38.61</v>
      </c>
      <c r="G75">
        <v>16</v>
      </c>
      <c r="H75">
        <v>10</v>
      </c>
      <c r="J75" s="11" t="str">
        <f>IF(F75&gt;$U$1,"5",IF(F75&gt;$V$1,"4",IF(F75&gt;$W$1,"3",IF(F75&gt;$X$1,"2",IF(F75&gt;$Y$1,"1",IF(F75&gt;$Z$1,"0"))))))</f>
        <v>2</v>
      </c>
      <c r="K75" s="11">
        <v>5</v>
      </c>
      <c r="N75" s="4">
        <f t="shared" si="4"/>
        <v>3</v>
      </c>
      <c r="O75" s="4"/>
    </row>
    <row r="76" spans="1:15" x14ac:dyDescent="0.3">
      <c r="A76" t="s">
        <v>270</v>
      </c>
      <c r="B76" t="s">
        <v>157</v>
      </c>
      <c r="C76">
        <v>160</v>
      </c>
      <c r="D76">
        <v>21.88</v>
      </c>
      <c r="E76">
        <v>52.38</v>
      </c>
      <c r="F76">
        <f t="shared" si="5"/>
        <v>37.130000000000003</v>
      </c>
      <c r="G76">
        <v>8</v>
      </c>
      <c r="H76">
        <v>16</v>
      </c>
      <c r="I76">
        <v>10</v>
      </c>
      <c r="J76" s="11" t="str">
        <f>IF(F76&gt;$U$1,"5",IF(F76&gt;$V$1,"4",IF(F76&gt;$W$1,"3",IF(F76&gt;$X$1,"2",IF(F76&gt;$Y$1,"1",IF(F76&gt;$Z$1,"0"))))))</f>
        <v>2</v>
      </c>
      <c r="K76" s="11">
        <v>5</v>
      </c>
      <c r="N76" s="4">
        <f t="shared" si="4"/>
        <v>3</v>
      </c>
      <c r="O76" s="4"/>
    </row>
    <row r="77" spans="1:15" x14ac:dyDescent="0.3">
      <c r="A77" t="s">
        <v>271</v>
      </c>
      <c r="B77" t="s">
        <v>159</v>
      </c>
      <c r="C77">
        <v>227</v>
      </c>
      <c r="D77">
        <v>7.93</v>
      </c>
      <c r="E77">
        <v>53.33</v>
      </c>
      <c r="F77">
        <f t="shared" si="5"/>
        <v>30.63</v>
      </c>
      <c r="G77">
        <v>8</v>
      </c>
      <c r="H77">
        <v>10</v>
      </c>
      <c r="I77">
        <v>16</v>
      </c>
      <c r="J77" s="11" t="str">
        <f>IF(F77&gt;$U$1,"5",IF(F77&gt;$V$1,"4",IF(F77&gt;$W$1,"3",IF(F77&gt;$X$1,"2",IF(F77&gt;$Y$1,"1",IF(F77&gt;$Z$1,"0"))))))</f>
        <v>2</v>
      </c>
      <c r="K77" s="11">
        <v>5</v>
      </c>
      <c r="N77" s="4">
        <f t="shared" si="4"/>
        <v>3</v>
      </c>
      <c r="O77" s="4"/>
    </row>
    <row r="78" spans="1:15" x14ac:dyDescent="0.3">
      <c r="A78" t="s">
        <v>272</v>
      </c>
      <c r="B78" t="s">
        <v>161</v>
      </c>
      <c r="C78">
        <v>670</v>
      </c>
      <c r="D78">
        <v>35.520000000000003</v>
      </c>
      <c r="E78">
        <v>62.23</v>
      </c>
      <c r="F78">
        <f t="shared" si="5"/>
        <v>48.875</v>
      </c>
      <c r="G78">
        <v>9</v>
      </c>
      <c r="H78">
        <v>8</v>
      </c>
      <c r="I78">
        <v>7</v>
      </c>
      <c r="J78" s="11" t="str">
        <f>IF(F78&gt;$U$1,"5",IF(F78&gt;$V$1,"4",IF(F78&gt;$W$1,"3",IF(F78&gt;$X$1,"2",IF(F78&gt;$Y$1,"1",IF(F78&gt;$Z$1,"0"))))))</f>
        <v>3</v>
      </c>
      <c r="K78" s="11">
        <v>5</v>
      </c>
      <c r="N78" s="4">
        <f t="shared" si="4"/>
        <v>2</v>
      </c>
      <c r="O78" s="4"/>
    </row>
    <row r="79" spans="1:15" x14ac:dyDescent="0.3">
      <c r="A79" t="s">
        <v>273</v>
      </c>
      <c r="B79" t="s">
        <v>217</v>
      </c>
      <c r="C79">
        <v>862</v>
      </c>
      <c r="D79">
        <v>42.69</v>
      </c>
      <c r="E79">
        <v>65.290000000000006</v>
      </c>
      <c r="F79">
        <f t="shared" si="5"/>
        <v>53.99</v>
      </c>
      <c r="G79">
        <v>13</v>
      </c>
      <c r="H79">
        <v>15</v>
      </c>
      <c r="I79">
        <v>6</v>
      </c>
      <c r="J79" s="11" t="str">
        <f>IF(F79&gt;$U$1,"5",IF(F79&gt;$V$1,"4",IF(F79&gt;$W$1,"3",IF(F79&gt;$X$1,"2",IF(F79&gt;$Y$1,"1",IF(F79&gt;$Z$1,"0"))))))</f>
        <v>3</v>
      </c>
      <c r="K79" s="11">
        <v>2</v>
      </c>
      <c r="N79" s="4">
        <f t="shared" si="4"/>
        <v>1</v>
      </c>
      <c r="O79" s="4"/>
    </row>
    <row r="80" spans="1:15" x14ac:dyDescent="0.3">
      <c r="A80" t="s">
        <v>274</v>
      </c>
      <c r="B80" t="s">
        <v>165</v>
      </c>
      <c r="C80">
        <v>127</v>
      </c>
      <c r="D80">
        <v>22.83</v>
      </c>
      <c r="E80">
        <v>40</v>
      </c>
      <c r="F80">
        <f t="shared" si="5"/>
        <v>31.414999999999999</v>
      </c>
      <c r="G80">
        <v>13</v>
      </c>
      <c r="H80">
        <v>4</v>
      </c>
      <c r="I80">
        <v>12</v>
      </c>
      <c r="J80" s="11" t="str">
        <f>IF(F80&gt;$U$1,"5",IF(F80&gt;$V$1,"4",IF(F80&gt;$W$1,"3",IF(F80&gt;$X$1,"2",IF(F80&gt;$Y$1,"1",IF(F80&gt;$Z$1,"0"))))))</f>
        <v>2</v>
      </c>
      <c r="K80" s="11">
        <v>4</v>
      </c>
      <c r="N80" s="4">
        <f t="shared" si="4"/>
        <v>2</v>
      </c>
      <c r="O80" s="4"/>
    </row>
    <row r="81" spans="1:15" x14ac:dyDescent="0.3">
      <c r="A81" t="s">
        <v>275</v>
      </c>
      <c r="B81" t="s">
        <v>167</v>
      </c>
      <c r="C81">
        <v>272</v>
      </c>
      <c r="D81">
        <v>65.81</v>
      </c>
      <c r="E81">
        <v>39.06</v>
      </c>
      <c r="F81">
        <f t="shared" si="5"/>
        <v>52.435000000000002</v>
      </c>
      <c r="G81">
        <v>12</v>
      </c>
      <c r="H81">
        <v>11</v>
      </c>
      <c r="I81">
        <v>7</v>
      </c>
      <c r="J81" s="11" t="str">
        <f>IF(F81&gt;$U$1,"5",IF(F81&gt;$V$1,"4",IF(F81&gt;$W$1,"3",IF(F81&gt;$X$1,"2",IF(F81&gt;$Y$1,"1",IF(F81&gt;$Z$1,"0"))))))</f>
        <v>3</v>
      </c>
      <c r="K81" s="11">
        <v>5</v>
      </c>
      <c r="L81" s="11"/>
      <c r="N81" s="4">
        <f t="shared" si="4"/>
        <v>2</v>
      </c>
      <c r="O81" s="4"/>
    </row>
    <row r="82" spans="1:15" x14ac:dyDescent="0.3">
      <c r="A82" t="s">
        <v>276</v>
      </c>
      <c r="B82" t="s">
        <v>169</v>
      </c>
      <c r="C82">
        <v>47</v>
      </c>
      <c r="D82">
        <v>23.4</v>
      </c>
      <c r="E82">
        <v>55.56</v>
      </c>
      <c r="F82">
        <f t="shared" si="5"/>
        <v>39.480000000000004</v>
      </c>
      <c r="G82">
        <v>13</v>
      </c>
      <c r="H82">
        <v>16</v>
      </c>
      <c r="I82">
        <v>12</v>
      </c>
      <c r="J82" s="11" t="str">
        <f>IF(F82&gt;$U$1,"5",IF(F82&gt;$V$1,"4",IF(F82&gt;$W$1,"3",IF(F82&gt;$X$1,"2",IF(F82&gt;$Y$1,"1",IF(F82&gt;$Z$1,"0"))))))</f>
        <v>2</v>
      </c>
      <c r="K82" s="11">
        <v>5</v>
      </c>
      <c r="L82" s="11"/>
      <c r="N82" s="4">
        <f t="shared" si="4"/>
        <v>3</v>
      </c>
      <c r="O82" s="4"/>
    </row>
    <row r="83" spans="1:15" x14ac:dyDescent="0.3">
      <c r="A83" t="s">
        <v>277</v>
      </c>
      <c r="B83" t="s">
        <v>171</v>
      </c>
      <c r="C83">
        <v>105</v>
      </c>
      <c r="D83">
        <v>18.100000000000001</v>
      </c>
      <c r="E83">
        <v>57.89</v>
      </c>
      <c r="F83">
        <f t="shared" si="5"/>
        <v>37.995000000000005</v>
      </c>
      <c r="G83">
        <v>9</v>
      </c>
      <c r="H83">
        <v>8</v>
      </c>
      <c r="I83">
        <v>5</v>
      </c>
      <c r="J83" s="11" t="str">
        <f>IF(F83&gt;$U$1,"5",IF(F83&gt;$V$1,"4",IF(F83&gt;$W$1,"3",IF(F83&gt;$X$1,"2",IF(F83&gt;$Y$1,"1",IF(F83&gt;$Z$1,"0"))))))</f>
        <v>2</v>
      </c>
      <c r="K83" s="11">
        <v>5</v>
      </c>
      <c r="L83" s="11"/>
      <c r="N83" s="4">
        <f t="shared" si="4"/>
        <v>3</v>
      </c>
    </row>
    <row r="84" spans="1:15" x14ac:dyDescent="0.3">
      <c r="A84" t="s">
        <v>278</v>
      </c>
      <c r="B84" t="s">
        <v>173</v>
      </c>
      <c r="C84">
        <v>527</v>
      </c>
      <c r="D84">
        <v>15.94</v>
      </c>
      <c r="E84">
        <v>43.08</v>
      </c>
      <c r="F84">
        <f t="shared" si="5"/>
        <v>29.509999999999998</v>
      </c>
      <c r="G84">
        <v>9</v>
      </c>
      <c r="H84">
        <v>8</v>
      </c>
      <c r="I84">
        <v>16</v>
      </c>
      <c r="J84" s="11" t="str">
        <f>IF(F84&gt;$U$1,"5",IF(F84&gt;$V$1,"4",IF(F84&gt;$W$1,"3",IF(F84&gt;$X$1,"2",IF(F84&gt;$Y$1,"1",IF(F84&gt;$Z$1,"0"))))))</f>
        <v>2</v>
      </c>
      <c r="K84" s="11">
        <v>5</v>
      </c>
      <c r="L84" s="11"/>
      <c r="N84" s="4">
        <f t="shared" si="4"/>
        <v>3</v>
      </c>
    </row>
    <row r="85" spans="1:15" x14ac:dyDescent="0.3">
      <c r="A85" t="s">
        <v>279</v>
      </c>
      <c r="B85" t="s">
        <v>175</v>
      </c>
      <c r="C85">
        <v>384</v>
      </c>
      <c r="D85">
        <v>58.07</v>
      </c>
      <c r="E85">
        <v>42</v>
      </c>
      <c r="F85">
        <f t="shared" si="5"/>
        <v>50.034999999999997</v>
      </c>
      <c r="G85">
        <v>13</v>
      </c>
      <c r="H85">
        <v>15</v>
      </c>
      <c r="I85">
        <v>11</v>
      </c>
      <c r="J85" s="11" t="str">
        <f>IF(F85&gt;$U$1,"5",IF(F85&gt;$V$1,"4",IF(F85&gt;$W$1,"3",IF(F85&gt;$X$1,"2",IF(F85&gt;$Y$1,"1",IF(F85&gt;$Z$1,"0"))))))</f>
        <v>3</v>
      </c>
      <c r="K85" s="11">
        <v>5</v>
      </c>
      <c r="L85" s="11"/>
      <c r="N85" s="4">
        <f t="shared" si="4"/>
        <v>2</v>
      </c>
    </row>
    <row r="86" spans="1:15" x14ac:dyDescent="0.3">
      <c r="A86" t="s">
        <v>280</v>
      </c>
      <c r="B86" t="s">
        <v>175</v>
      </c>
      <c r="C86">
        <v>384</v>
      </c>
      <c r="D86">
        <v>58.07</v>
      </c>
      <c r="E86">
        <v>42</v>
      </c>
      <c r="F86">
        <f t="shared" si="5"/>
        <v>50.034999999999997</v>
      </c>
      <c r="G86">
        <v>13</v>
      </c>
      <c r="H86">
        <v>15</v>
      </c>
      <c r="I86">
        <v>11</v>
      </c>
      <c r="J86" s="11" t="str">
        <f>IF(F86&gt;$U$1,"5",IF(F86&gt;$V$1,"4",IF(F86&gt;$W$1,"3",IF(F86&gt;$X$1,"2",IF(F86&gt;$Y$1,"1",IF(F86&gt;$Z$1,"0"))))))</f>
        <v>3</v>
      </c>
      <c r="K86" s="11">
        <v>5</v>
      </c>
      <c r="L86" s="11"/>
      <c r="N86" s="4">
        <f t="shared" si="4"/>
        <v>2</v>
      </c>
    </row>
    <row r="87" spans="1:15" x14ac:dyDescent="0.3">
      <c r="A87" t="s">
        <v>281</v>
      </c>
      <c r="B87" t="s">
        <v>178</v>
      </c>
      <c r="C87">
        <v>71</v>
      </c>
      <c r="D87">
        <v>54.93</v>
      </c>
      <c r="E87">
        <v>63.16</v>
      </c>
      <c r="F87">
        <f t="shared" si="5"/>
        <v>59.045000000000002</v>
      </c>
      <c r="G87">
        <v>11</v>
      </c>
      <c r="H87">
        <v>7</v>
      </c>
      <c r="I87">
        <v>13</v>
      </c>
      <c r="J87" s="11" t="str">
        <f>IF(F87&gt;$U$1,"5",IF(F87&gt;$V$1,"4",IF(F87&gt;$W$1,"3",IF(F87&gt;$X$1,"2",IF(F87&gt;$Y$1,"1",IF(F87&gt;$Z$1,"0"))))))</f>
        <v>3</v>
      </c>
      <c r="K87" s="11">
        <v>5</v>
      </c>
      <c r="N87" s="4">
        <f t="shared" si="4"/>
        <v>2</v>
      </c>
    </row>
    <row r="88" spans="1:15" x14ac:dyDescent="0.3">
      <c r="A88" t="s">
        <v>282</v>
      </c>
      <c r="B88" t="s">
        <v>14</v>
      </c>
      <c r="C88">
        <v>24</v>
      </c>
      <c r="D88">
        <v>79.17</v>
      </c>
      <c r="E88">
        <v>42.86</v>
      </c>
      <c r="F88">
        <f t="shared" si="5"/>
        <v>61.015000000000001</v>
      </c>
      <c r="G88">
        <v>12</v>
      </c>
      <c r="H88">
        <v>11</v>
      </c>
      <c r="I88">
        <v>13</v>
      </c>
      <c r="J88" s="11" t="str">
        <f>IF(F88&gt;$U$1,"5",IF(F88&gt;$V$1,"4",IF(F88&gt;$W$1,"3",IF(F88&gt;$X$1,"2",IF(F88&gt;$Y$1,"1",IF(F88&gt;$Z$1,"0"))))))</f>
        <v>4</v>
      </c>
      <c r="K88" s="11">
        <v>5</v>
      </c>
      <c r="N88" s="4">
        <f t="shared" si="4"/>
        <v>1</v>
      </c>
    </row>
    <row r="89" spans="1:15" x14ac:dyDescent="0.3">
      <c r="A89" t="s">
        <v>283</v>
      </c>
      <c r="B89" t="s">
        <v>181</v>
      </c>
      <c r="C89">
        <v>392</v>
      </c>
      <c r="D89">
        <v>6.89</v>
      </c>
      <c r="E89">
        <v>54.55</v>
      </c>
      <c r="F89">
        <f t="shared" si="5"/>
        <v>30.72</v>
      </c>
      <c r="G89">
        <v>8</v>
      </c>
      <c r="H89">
        <v>16</v>
      </c>
      <c r="I89">
        <v>3</v>
      </c>
      <c r="J89" s="11" t="str">
        <f>IF(F89&gt;$U$1,"5",IF(F89&gt;$V$1,"4",IF(F89&gt;$W$1,"3",IF(F89&gt;$X$1,"2",IF(F89&gt;$Y$1,"1",IF(F89&gt;$Z$1,"0"))))))</f>
        <v>2</v>
      </c>
      <c r="K89" s="11">
        <v>5</v>
      </c>
      <c r="N89" s="4">
        <f t="shared" si="4"/>
        <v>3</v>
      </c>
    </row>
    <row r="90" spans="1:15" x14ac:dyDescent="0.3">
      <c r="A90" t="s">
        <v>284</v>
      </c>
      <c r="B90" t="s">
        <v>183</v>
      </c>
      <c r="C90">
        <v>112</v>
      </c>
      <c r="D90">
        <v>36.61</v>
      </c>
      <c r="E90">
        <v>44.44</v>
      </c>
      <c r="F90">
        <f t="shared" si="5"/>
        <v>40.524999999999999</v>
      </c>
      <c r="G90">
        <v>8</v>
      </c>
      <c r="H90">
        <v>9</v>
      </c>
      <c r="I90">
        <v>4</v>
      </c>
      <c r="J90" s="11" t="str">
        <f>IF(F90&gt;$U$1,"5",IF(F90&gt;$V$1,"4",IF(F90&gt;$W$1,"3",IF(F90&gt;$X$1,"2",IF(F90&gt;$Y$1,"1",IF(F90&gt;$Z$1,"0"))))))</f>
        <v>3</v>
      </c>
      <c r="K90" s="11">
        <v>5</v>
      </c>
      <c r="N90" s="4">
        <f t="shared" si="4"/>
        <v>2</v>
      </c>
    </row>
    <row r="91" spans="1:15" x14ac:dyDescent="0.3">
      <c r="A91" t="s">
        <v>285</v>
      </c>
      <c r="B91" t="s">
        <v>187</v>
      </c>
      <c r="C91">
        <v>210</v>
      </c>
      <c r="D91">
        <v>8.1</v>
      </c>
      <c r="E91">
        <v>84.62</v>
      </c>
      <c r="G91">
        <v>9</v>
      </c>
      <c r="H91">
        <v>5</v>
      </c>
      <c r="I91">
        <v>16</v>
      </c>
      <c r="J91" s="11"/>
      <c r="K91" s="11"/>
      <c r="N91" s="4"/>
    </row>
    <row r="92" spans="1:15" x14ac:dyDescent="0.3">
      <c r="J92" s="11"/>
      <c r="K92" s="11"/>
      <c r="N92" s="4"/>
    </row>
    <row r="93" spans="1:15" x14ac:dyDescent="0.3">
      <c r="J93" s="11"/>
      <c r="K93" s="11"/>
      <c r="N93" s="4"/>
    </row>
    <row r="94" spans="1:15" x14ac:dyDescent="0.3">
      <c r="J94" s="11"/>
      <c r="K94" s="11"/>
      <c r="N94" s="4"/>
    </row>
    <row r="95" spans="1:15" x14ac:dyDescent="0.3">
      <c r="J95" s="11"/>
      <c r="K95" s="11"/>
      <c r="N95" s="4"/>
    </row>
    <row r="96" spans="1:15" x14ac:dyDescent="0.3">
      <c r="J96" s="11"/>
      <c r="K96" s="11"/>
      <c r="N96" s="4"/>
    </row>
    <row r="97" spans="10:14" x14ac:dyDescent="0.3">
      <c r="J97" s="11"/>
      <c r="K97" s="11"/>
      <c r="N97" s="4"/>
    </row>
    <row r="98" spans="10:14" x14ac:dyDescent="0.3">
      <c r="J98" s="11"/>
      <c r="K98" s="11"/>
      <c r="N98" s="4"/>
    </row>
    <row r="99" spans="10:14" x14ac:dyDescent="0.3">
      <c r="J99" s="11"/>
      <c r="K99" s="11"/>
      <c r="N99" s="4"/>
    </row>
    <row r="100" spans="10:14" x14ac:dyDescent="0.3">
      <c r="J100" s="11"/>
      <c r="K100" s="11"/>
      <c r="N100" s="4"/>
    </row>
    <row r="101" spans="10:14" x14ac:dyDescent="0.3">
      <c r="J101" s="11"/>
      <c r="K101" s="11"/>
      <c r="N101" s="4"/>
    </row>
    <row r="102" spans="10:14" x14ac:dyDescent="0.3">
      <c r="J102" s="11"/>
      <c r="K102" s="11"/>
      <c r="N102" s="4"/>
    </row>
    <row r="103" spans="10:14" x14ac:dyDescent="0.3">
      <c r="J103" s="11"/>
      <c r="K103" s="11"/>
      <c r="N103" s="4"/>
    </row>
    <row r="104" spans="10:14" x14ac:dyDescent="0.3">
      <c r="J104" s="11"/>
      <c r="K104" s="11"/>
      <c r="N104" s="4"/>
    </row>
    <row r="105" spans="10:14" x14ac:dyDescent="0.3">
      <c r="J105" s="11"/>
      <c r="K105" s="11"/>
      <c r="N105" s="4"/>
    </row>
    <row r="106" spans="10:14" x14ac:dyDescent="0.3">
      <c r="J106" s="11"/>
      <c r="K106" s="11"/>
      <c r="N106" s="4"/>
    </row>
    <row r="107" spans="10:14" x14ac:dyDescent="0.3">
      <c r="J107" s="11"/>
      <c r="K107" s="11"/>
      <c r="N107" s="4"/>
    </row>
    <row r="108" spans="10:14" x14ac:dyDescent="0.3">
      <c r="J108" s="11"/>
      <c r="K108" s="11"/>
      <c r="N108" s="4"/>
    </row>
    <row r="109" spans="10:14" x14ac:dyDescent="0.3">
      <c r="J109" s="11"/>
      <c r="K109" s="11"/>
      <c r="N109" s="4"/>
    </row>
    <row r="110" spans="10:14" x14ac:dyDescent="0.3">
      <c r="J110" s="11"/>
      <c r="K110" s="11"/>
      <c r="N110" s="4"/>
    </row>
    <row r="111" spans="10:14" x14ac:dyDescent="0.3">
      <c r="J111" s="11"/>
      <c r="K111" s="11"/>
      <c r="N111" s="4"/>
    </row>
    <row r="112" spans="10:14" x14ac:dyDescent="0.3">
      <c r="J112" s="11"/>
      <c r="K112" s="11"/>
      <c r="N112" s="4"/>
    </row>
    <row r="113" spans="10:14" x14ac:dyDescent="0.3">
      <c r="J113" s="11"/>
      <c r="K113" s="11"/>
      <c r="N113" s="4"/>
    </row>
    <row r="114" spans="10:14" x14ac:dyDescent="0.3">
      <c r="J114" s="11"/>
      <c r="K114" s="11"/>
      <c r="N114" s="4"/>
    </row>
    <row r="115" spans="10:14" x14ac:dyDescent="0.3">
      <c r="J115" s="11"/>
      <c r="K115" s="11"/>
      <c r="N115" s="4"/>
    </row>
    <row r="116" spans="10:14" x14ac:dyDescent="0.3">
      <c r="J116" s="11"/>
      <c r="K116" s="11"/>
      <c r="N116" s="4"/>
    </row>
    <row r="117" spans="10:14" x14ac:dyDescent="0.3">
      <c r="J117" s="11"/>
      <c r="K117" s="11"/>
      <c r="N117" s="4"/>
    </row>
    <row r="118" spans="10:14" x14ac:dyDescent="0.3">
      <c r="J118" s="11"/>
      <c r="K118" s="11"/>
      <c r="N118" s="4"/>
    </row>
    <row r="119" spans="10:14" x14ac:dyDescent="0.3">
      <c r="J119" s="11"/>
      <c r="K119" s="11"/>
      <c r="N119" s="4"/>
    </row>
    <row r="120" spans="10:14" x14ac:dyDescent="0.3">
      <c r="J120" s="11"/>
      <c r="K120" s="11"/>
      <c r="N120" s="4"/>
    </row>
    <row r="121" spans="10:14" x14ac:dyDescent="0.3">
      <c r="J121" s="11"/>
      <c r="K121" s="11"/>
      <c r="N121" s="4"/>
    </row>
    <row r="122" spans="10:14" x14ac:dyDescent="0.3">
      <c r="J122" s="11"/>
      <c r="K122" s="11"/>
      <c r="N122" s="4"/>
    </row>
    <row r="123" spans="10:14" x14ac:dyDescent="0.3">
      <c r="J123" s="11"/>
      <c r="K123" s="11"/>
      <c r="N123" s="4"/>
    </row>
    <row r="124" spans="10:14" x14ac:dyDescent="0.3">
      <c r="J124" s="11"/>
      <c r="K124" s="11"/>
      <c r="N124" s="4"/>
    </row>
    <row r="125" spans="10:14" x14ac:dyDescent="0.3">
      <c r="J125" s="11"/>
      <c r="K125" s="11"/>
      <c r="N125" s="4"/>
    </row>
    <row r="126" spans="10:14" x14ac:dyDescent="0.3">
      <c r="J126" s="11"/>
      <c r="K126" s="11"/>
      <c r="N126" s="4"/>
    </row>
    <row r="127" spans="10:14" x14ac:dyDescent="0.3">
      <c r="J127" s="11"/>
      <c r="K127" s="11"/>
      <c r="N127" s="4"/>
    </row>
    <row r="128" spans="10:14" x14ac:dyDescent="0.3">
      <c r="J128" s="11"/>
      <c r="K128" s="11"/>
      <c r="N128" s="4"/>
    </row>
    <row r="129" spans="10:14" x14ac:dyDescent="0.3">
      <c r="J129" s="11"/>
      <c r="K129" s="11"/>
      <c r="N129" s="4"/>
    </row>
    <row r="130" spans="10:14" x14ac:dyDescent="0.3">
      <c r="J130" s="11"/>
      <c r="K130" s="11"/>
      <c r="N130" s="4"/>
    </row>
    <row r="131" spans="10:14" x14ac:dyDescent="0.3">
      <c r="J131" s="11"/>
      <c r="K131" s="11"/>
      <c r="N131" s="4"/>
    </row>
    <row r="132" spans="10:14" x14ac:dyDescent="0.3">
      <c r="J132" s="11"/>
      <c r="K132" s="11"/>
      <c r="N132" s="4"/>
    </row>
    <row r="133" spans="10:14" x14ac:dyDescent="0.3">
      <c r="J133" s="11"/>
      <c r="K133" s="11"/>
      <c r="N133" s="4"/>
    </row>
    <row r="134" spans="10:14" x14ac:dyDescent="0.3">
      <c r="J134" s="11"/>
      <c r="K134" s="11"/>
      <c r="N134" s="4"/>
    </row>
    <row r="135" spans="10:14" x14ac:dyDescent="0.3">
      <c r="J135" s="11"/>
      <c r="K135" s="11"/>
      <c r="N135" s="4"/>
    </row>
    <row r="136" spans="10:14" x14ac:dyDescent="0.3">
      <c r="J136" s="11"/>
      <c r="K136" s="11"/>
      <c r="N136" s="4"/>
    </row>
    <row r="137" spans="10:14" x14ac:dyDescent="0.3">
      <c r="J137" s="11"/>
      <c r="K137" s="11"/>
      <c r="N137" s="4"/>
    </row>
    <row r="138" spans="10:14" x14ac:dyDescent="0.3">
      <c r="J138" s="11"/>
      <c r="K138" s="11"/>
      <c r="N138" s="4"/>
    </row>
    <row r="139" spans="10:14" x14ac:dyDescent="0.3">
      <c r="J139" s="11"/>
      <c r="K139" s="11"/>
      <c r="N139" s="4"/>
    </row>
    <row r="140" spans="10:14" x14ac:dyDescent="0.3">
      <c r="J140" s="11"/>
      <c r="K140" s="11"/>
      <c r="N140" s="4"/>
    </row>
    <row r="141" spans="10:14" x14ac:dyDescent="0.3">
      <c r="J141" s="11"/>
      <c r="K141" s="11"/>
      <c r="N141" s="4"/>
    </row>
    <row r="142" spans="10:14" x14ac:dyDescent="0.3">
      <c r="J142" s="11"/>
      <c r="K142" s="11"/>
      <c r="N142" s="4"/>
    </row>
    <row r="143" spans="10:14" x14ac:dyDescent="0.3">
      <c r="J143" s="11"/>
      <c r="K143" s="11"/>
      <c r="N143" s="4"/>
    </row>
    <row r="144" spans="10:14" x14ac:dyDescent="0.3">
      <c r="J144" s="11"/>
      <c r="K144" s="11"/>
      <c r="N144" s="4"/>
    </row>
    <row r="145" spans="10:14" x14ac:dyDescent="0.3">
      <c r="J145" s="11"/>
      <c r="K145" s="11"/>
      <c r="N145" s="4"/>
    </row>
    <row r="146" spans="10:14" x14ac:dyDescent="0.3">
      <c r="J146" s="11"/>
      <c r="K146" s="11"/>
      <c r="L146" s="11"/>
      <c r="N146" s="4"/>
    </row>
    <row r="147" spans="10:14" x14ac:dyDescent="0.3">
      <c r="J147" s="11"/>
      <c r="K147" s="11"/>
      <c r="L147" s="11"/>
      <c r="N147" s="4"/>
    </row>
    <row r="148" spans="10:14" x14ac:dyDescent="0.3">
      <c r="J148" s="11"/>
      <c r="K148" s="11"/>
      <c r="L148" s="11"/>
      <c r="N148" s="4"/>
    </row>
    <row r="149" spans="10:14" x14ac:dyDescent="0.3">
      <c r="J149" s="11"/>
      <c r="K149" s="11"/>
      <c r="L149" s="11"/>
      <c r="N149" s="4"/>
    </row>
    <row r="150" spans="10:14" x14ac:dyDescent="0.3">
      <c r="J150" s="11"/>
      <c r="K150" s="11"/>
      <c r="N150" s="4"/>
    </row>
    <row r="151" spans="10:14" x14ac:dyDescent="0.3">
      <c r="J151" s="11"/>
      <c r="K151" s="11"/>
      <c r="N151" s="4"/>
    </row>
    <row r="152" spans="10:14" x14ac:dyDescent="0.3">
      <c r="J152" s="11"/>
      <c r="K152" s="11"/>
      <c r="N152" s="4"/>
    </row>
    <row r="153" spans="10:14" x14ac:dyDescent="0.3">
      <c r="J153" s="11"/>
      <c r="K153" s="11"/>
      <c r="N153" s="4"/>
    </row>
    <row r="154" spans="10:14" x14ac:dyDescent="0.3">
      <c r="J154" s="11"/>
      <c r="K154" s="11"/>
      <c r="N154" s="4"/>
    </row>
    <row r="155" spans="10:14" x14ac:dyDescent="0.3">
      <c r="J155" s="11"/>
      <c r="K155" s="11"/>
      <c r="N155" s="4"/>
    </row>
    <row r="156" spans="10:14" x14ac:dyDescent="0.3">
      <c r="J156" s="11"/>
      <c r="K156" s="11"/>
      <c r="N156" s="4"/>
    </row>
    <row r="157" spans="10:14" x14ac:dyDescent="0.3">
      <c r="J157" s="11"/>
      <c r="K157" s="11"/>
      <c r="N157" s="4"/>
    </row>
    <row r="158" spans="10:14" x14ac:dyDescent="0.3">
      <c r="J158" s="11"/>
      <c r="K158" s="11"/>
      <c r="N158" s="4"/>
    </row>
    <row r="159" spans="10:14" x14ac:dyDescent="0.3">
      <c r="J159" s="11"/>
      <c r="K159" s="11"/>
      <c r="N159" s="4"/>
    </row>
    <row r="160" spans="10:14" x14ac:dyDescent="0.3">
      <c r="J160" s="11"/>
      <c r="K160" s="11"/>
      <c r="N160" s="4"/>
    </row>
    <row r="161" spans="10:14" x14ac:dyDescent="0.3">
      <c r="J161" s="11"/>
      <c r="K161" s="11"/>
      <c r="N161" s="4"/>
    </row>
    <row r="162" spans="10:14" x14ac:dyDescent="0.3">
      <c r="J162" s="11"/>
      <c r="K162" s="11"/>
      <c r="L162" s="11"/>
      <c r="N162" s="4"/>
    </row>
    <row r="163" spans="10:14" x14ac:dyDescent="0.3">
      <c r="J163" s="11"/>
      <c r="K163" s="11"/>
      <c r="L163" s="11"/>
      <c r="N163" s="4"/>
    </row>
    <row r="164" spans="10:14" x14ac:dyDescent="0.3">
      <c r="J164" s="11"/>
      <c r="K164" s="11"/>
      <c r="L164" s="11"/>
      <c r="N164" s="4"/>
    </row>
    <row r="165" spans="10:14" x14ac:dyDescent="0.3">
      <c r="J165" s="11"/>
      <c r="K165" s="11"/>
      <c r="N165" s="4"/>
    </row>
    <row r="166" spans="10:14" x14ac:dyDescent="0.3">
      <c r="J166" s="11"/>
      <c r="K166" s="11"/>
      <c r="N166" s="4"/>
    </row>
    <row r="167" spans="10:14" x14ac:dyDescent="0.3">
      <c r="J167" s="11"/>
      <c r="K167" s="11"/>
      <c r="N167" s="4"/>
    </row>
    <row r="168" spans="10:14" x14ac:dyDescent="0.3">
      <c r="J168" s="11"/>
      <c r="K168" s="11"/>
      <c r="N168" s="4"/>
    </row>
    <row r="169" spans="10:14" x14ac:dyDescent="0.3">
      <c r="J169" s="11"/>
      <c r="K169" s="11"/>
      <c r="N169" s="4"/>
    </row>
    <row r="170" spans="10:14" x14ac:dyDescent="0.3">
      <c r="J170" s="11"/>
      <c r="K170" s="11"/>
      <c r="N170" s="4"/>
    </row>
    <row r="171" spans="10:14" x14ac:dyDescent="0.3">
      <c r="J171" s="11"/>
      <c r="K171" s="11"/>
      <c r="N171" s="4"/>
    </row>
    <row r="172" spans="10:14" x14ac:dyDescent="0.3">
      <c r="J172" s="11"/>
      <c r="K172" s="11"/>
      <c r="N172" s="4"/>
    </row>
    <row r="173" spans="10:14" x14ac:dyDescent="0.3">
      <c r="J173" s="11"/>
      <c r="K173" s="11"/>
      <c r="N173" s="4"/>
    </row>
    <row r="174" spans="10:14" x14ac:dyDescent="0.3">
      <c r="J174" s="11"/>
      <c r="K174" s="11"/>
      <c r="N174" s="4"/>
    </row>
    <row r="175" spans="10:14" x14ac:dyDescent="0.3">
      <c r="J175" s="11"/>
      <c r="K175" s="11"/>
      <c r="N175" s="4"/>
    </row>
    <row r="176" spans="10:14" x14ac:dyDescent="0.3">
      <c r="J176" s="11"/>
      <c r="K176" s="11"/>
      <c r="N176" s="4"/>
    </row>
    <row r="177" spans="10:14" x14ac:dyDescent="0.3">
      <c r="J177" s="11"/>
      <c r="K177" s="11"/>
      <c r="N177" s="4"/>
    </row>
    <row r="178" spans="10:14" x14ac:dyDescent="0.3">
      <c r="J178" s="11"/>
      <c r="K178" s="11"/>
      <c r="N178" s="4"/>
    </row>
    <row r="179" spans="10:14" x14ac:dyDescent="0.3">
      <c r="J179" s="11"/>
      <c r="K179" s="11"/>
      <c r="N179" s="4"/>
    </row>
    <row r="180" spans="10:14" x14ac:dyDescent="0.3">
      <c r="J180" s="11"/>
      <c r="K180" s="11"/>
      <c r="N180" s="4"/>
    </row>
    <row r="181" spans="10:14" x14ac:dyDescent="0.3">
      <c r="J181" s="11"/>
      <c r="K181" s="11"/>
      <c r="N181" s="4"/>
    </row>
    <row r="182" spans="10:14" x14ac:dyDescent="0.3">
      <c r="J182" s="11"/>
      <c r="K182" s="11"/>
      <c r="N182" s="4"/>
    </row>
    <row r="183" spans="10:14" x14ac:dyDescent="0.3">
      <c r="J183" s="11"/>
      <c r="K183" s="11"/>
      <c r="N183" s="4"/>
    </row>
    <row r="184" spans="10:14" x14ac:dyDescent="0.3">
      <c r="J184" s="11"/>
      <c r="K184" s="11"/>
      <c r="N184" s="4"/>
    </row>
    <row r="185" spans="10:14" x14ac:dyDescent="0.3">
      <c r="J185" s="11"/>
      <c r="K185" s="11"/>
      <c r="N185" s="4"/>
    </row>
    <row r="186" spans="10:14" x14ac:dyDescent="0.3">
      <c r="J186" s="11"/>
      <c r="K186" s="11"/>
      <c r="N186" s="4"/>
    </row>
    <row r="187" spans="10:14" x14ac:dyDescent="0.3">
      <c r="J187" s="11"/>
      <c r="K187" s="11"/>
      <c r="N187" s="4"/>
    </row>
    <row r="188" spans="10:14" x14ac:dyDescent="0.3">
      <c r="J188" s="11"/>
      <c r="K188" s="11"/>
      <c r="N188" s="4"/>
    </row>
    <row r="189" spans="10:14" x14ac:dyDescent="0.3">
      <c r="J189" s="11"/>
      <c r="K189" s="11"/>
      <c r="N189" s="4"/>
    </row>
    <row r="190" spans="10:14" x14ac:dyDescent="0.3">
      <c r="J190" s="11"/>
      <c r="K190" s="11"/>
      <c r="N190" s="4"/>
    </row>
    <row r="191" spans="10:14" x14ac:dyDescent="0.3">
      <c r="J191" s="11"/>
      <c r="K191" s="11"/>
      <c r="N191" s="4"/>
    </row>
    <row r="192" spans="10:14" x14ac:dyDescent="0.3">
      <c r="J192" s="11"/>
      <c r="K192" s="11"/>
      <c r="N192" s="4"/>
    </row>
    <row r="193" spans="10:14" x14ac:dyDescent="0.3">
      <c r="J193" s="11"/>
      <c r="K193" s="11"/>
      <c r="N193" s="4"/>
    </row>
    <row r="194" spans="10:14" x14ac:dyDescent="0.3">
      <c r="J194" s="11"/>
      <c r="K194" s="11"/>
      <c r="L194" s="11"/>
      <c r="N194" s="4"/>
    </row>
    <row r="195" spans="10:14" x14ac:dyDescent="0.3">
      <c r="J195" s="11"/>
      <c r="K195" s="11"/>
      <c r="N195" s="4"/>
    </row>
    <row r="196" spans="10:14" x14ac:dyDescent="0.3">
      <c r="J196" s="11"/>
      <c r="K196" s="11"/>
      <c r="N196" s="4"/>
    </row>
    <row r="197" spans="10:14" x14ac:dyDescent="0.3">
      <c r="J197" s="11"/>
      <c r="K197" s="11"/>
      <c r="N197" s="4"/>
    </row>
    <row r="198" spans="10:14" x14ac:dyDescent="0.3">
      <c r="J198" s="11"/>
      <c r="K198" s="11"/>
      <c r="N198" s="4"/>
    </row>
    <row r="199" spans="10:14" x14ac:dyDescent="0.3">
      <c r="J199" s="11"/>
      <c r="K199" s="11"/>
      <c r="N199" s="4"/>
    </row>
    <row r="200" spans="10:14" x14ac:dyDescent="0.3">
      <c r="J200" s="11"/>
      <c r="K200" s="11"/>
      <c r="N200" s="4"/>
    </row>
    <row r="201" spans="10:14" x14ac:dyDescent="0.3">
      <c r="J201" s="11"/>
      <c r="K201" s="11"/>
      <c r="N201" s="4"/>
    </row>
  </sheetData>
  <autoFilter ref="A1:N1" xr:uid="{15D91737-F968-4E4F-A01E-337200C1E7C8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E0F6-4CC9-4976-8863-7375A770505D}">
  <dimension ref="A1:AD201"/>
  <sheetViews>
    <sheetView tabSelected="1" topLeftCell="A73" zoomScale="127" zoomScaleNormal="127" workbookViewId="0">
      <pane xSplit="1" topLeftCell="B1" activePane="topRight" state="frozen"/>
      <selection pane="topRight" activeCell="E91" sqref="E91"/>
    </sheetView>
  </sheetViews>
  <sheetFormatPr defaultColWidth="10.796875" defaultRowHeight="15.6" x14ac:dyDescent="0.3"/>
  <cols>
    <col min="1" max="1" width="75.5" bestFit="1" customWidth="1"/>
    <col min="3" max="5" width="10.796875" customWidth="1"/>
    <col min="6" max="6" width="20.296875" bestFit="1" customWidth="1"/>
    <col min="7" max="9" width="20.296875" customWidth="1"/>
    <col min="10" max="10" width="26.19921875" bestFit="1" customWidth="1"/>
    <col min="11" max="11" width="25.69921875" customWidth="1"/>
    <col min="12" max="12" width="10.796875" hidden="1" customWidth="1"/>
    <col min="13" max="13" width="9.69921875" hidden="1" customWidth="1"/>
    <col min="14" max="14" width="10.796875" customWidth="1"/>
    <col min="15" max="15" width="11.796875" bestFit="1" customWidth="1"/>
    <col min="17" max="18" width="11.59765625" bestFit="1" customWidth="1"/>
  </cols>
  <sheetData>
    <row r="1" spans="1:30" s="5" customFormat="1" ht="31.2" x14ac:dyDescent="0.3">
      <c r="A1" t="s">
        <v>16</v>
      </c>
      <c r="B1" t="s">
        <v>0</v>
      </c>
      <c r="C1" t="s">
        <v>11</v>
      </c>
      <c r="D1" t="s">
        <v>12</v>
      </c>
      <c r="E1" t="s">
        <v>13</v>
      </c>
      <c r="F1" s="8" t="s">
        <v>6</v>
      </c>
      <c r="G1" t="s">
        <v>188</v>
      </c>
      <c r="H1" t="s">
        <v>189</v>
      </c>
      <c r="I1" t="s">
        <v>190</v>
      </c>
      <c r="J1" s="6" t="s">
        <v>8</v>
      </c>
      <c r="K1" s="9" t="s">
        <v>5</v>
      </c>
      <c r="L1" s="5" t="s">
        <v>1</v>
      </c>
      <c r="M1" s="5" t="s">
        <v>7</v>
      </c>
      <c r="N1" s="5" t="s">
        <v>15</v>
      </c>
      <c r="P1" s="1">
        <v>1.2</v>
      </c>
      <c r="Q1" s="2">
        <f>0.5</f>
        <v>0.5</v>
      </c>
      <c r="R1" s="2">
        <f>1-Q1</f>
        <v>0.5</v>
      </c>
      <c r="S1" s="3">
        <f>Q1+R1</f>
        <v>1</v>
      </c>
      <c r="U1" s="2">
        <v>80</v>
      </c>
      <c r="V1" s="2">
        <v>60</v>
      </c>
      <c r="W1" s="2">
        <v>40</v>
      </c>
      <c r="X1" s="2">
        <v>20</v>
      </c>
      <c r="Y1" s="2">
        <v>0</v>
      </c>
      <c r="Z1" s="2">
        <v>0</v>
      </c>
      <c r="AA1" s="5" t="s">
        <v>9</v>
      </c>
      <c r="AB1" s="7">
        <f>COUNTIF(N2:N90,"&lt;2")/COUNT(N2:N90)</f>
        <v>0.23595505617977527</v>
      </c>
      <c r="AC1" s="10"/>
      <c r="AD1" s="7"/>
    </row>
    <row r="2" spans="1:30" x14ac:dyDescent="0.3">
      <c r="A2" t="s">
        <v>17</v>
      </c>
      <c r="B2" t="s">
        <v>18</v>
      </c>
      <c r="C2">
        <v>34</v>
      </c>
      <c r="D2">
        <v>29.41</v>
      </c>
      <c r="E2">
        <v>50</v>
      </c>
      <c r="F2">
        <f>$Q$1*D2+$R$1*E2</f>
        <v>39.704999999999998</v>
      </c>
      <c r="G2">
        <v>8</v>
      </c>
      <c r="H2">
        <v>4</v>
      </c>
      <c r="I2">
        <v>3</v>
      </c>
      <c r="J2" s="11" t="str">
        <f t="shared" ref="J2:J33" si="0">IF(F2&gt;$U$1,"5",IF(F2&gt;$V$1,"4",IF(F2&gt;$W$1,"3",IF(F2&gt;$X$1,"2",IF(F2&gt;$Y$1,"1",IF(F2&gt;$Z$1,"0"))))))</f>
        <v>2</v>
      </c>
      <c r="K2" s="11">
        <v>5</v>
      </c>
      <c r="N2" s="4">
        <f t="shared" ref="N2:N65" si="1">ABS(J2-K2)</f>
        <v>3</v>
      </c>
      <c r="O2" s="4"/>
    </row>
    <row r="3" spans="1:30" x14ac:dyDescent="0.3">
      <c r="A3" t="s">
        <v>19</v>
      </c>
      <c r="B3" t="s">
        <v>20</v>
      </c>
      <c r="C3">
        <v>36</v>
      </c>
      <c r="D3">
        <v>52.78</v>
      </c>
      <c r="E3">
        <v>35.71</v>
      </c>
      <c r="F3">
        <f t="shared" ref="F3:F66" si="2">$Q$1*D3+$R$1*E3</f>
        <v>44.245000000000005</v>
      </c>
      <c r="G3">
        <v>8</v>
      </c>
      <c r="H3">
        <v>1</v>
      </c>
      <c r="I3">
        <v>10</v>
      </c>
      <c r="J3" s="11" t="str">
        <f t="shared" si="0"/>
        <v>3</v>
      </c>
      <c r="K3" s="11">
        <v>5</v>
      </c>
      <c r="N3" s="4">
        <f t="shared" si="1"/>
        <v>2</v>
      </c>
      <c r="O3" s="4"/>
    </row>
    <row r="4" spans="1:30" x14ac:dyDescent="0.3">
      <c r="A4" t="s">
        <v>21</v>
      </c>
      <c r="B4" t="s">
        <v>22</v>
      </c>
      <c r="C4">
        <v>188</v>
      </c>
      <c r="D4">
        <v>10.64</v>
      </c>
      <c r="E4">
        <v>41.67</v>
      </c>
      <c r="F4">
        <f t="shared" si="2"/>
        <v>26.155000000000001</v>
      </c>
      <c r="G4">
        <v>3</v>
      </c>
      <c r="H4">
        <v>8</v>
      </c>
      <c r="I4">
        <v>16</v>
      </c>
      <c r="J4" s="11" t="str">
        <f t="shared" si="0"/>
        <v>2</v>
      </c>
      <c r="K4" s="11">
        <v>5</v>
      </c>
      <c r="N4" s="4">
        <f t="shared" si="1"/>
        <v>3</v>
      </c>
      <c r="O4" s="4"/>
    </row>
    <row r="5" spans="1:30" x14ac:dyDescent="0.3">
      <c r="A5" t="s">
        <v>23</v>
      </c>
      <c r="B5" t="s">
        <v>24</v>
      </c>
      <c r="C5">
        <v>56</v>
      </c>
      <c r="D5">
        <v>1.79</v>
      </c>
      <c r="E5">
        <v>100</v>
      </c>
      <c r="F5">
        <f t="shared" si="2"/>
        <v>50.895000000000003</v>
      </c>
      <c r="G5">
        <v>3</v>
      </c>
      <c r="J5" s="11" t="str">
        <f t="shared" si="0"/>
        <v>3</v>
      </c>
      <c r="K5" s="11">
        <v>5</v>
      </c>
      <c r="N5" s="4">
        <f t="shared" si="1"/>
        <v>2</v>
      </c>
      <c r="O5" s="4"/>
    </row>
    <row r="6" spans="1:30" x14ac:dyDescent="0.3">
      <c r="A6" t="s">
        <v>25</v>
      </c>
      <c r="B6" t="s">
        <v>26</v>
      </c>
      <c r="C6">
        <v>153</v>
      </c>
      <c r="D6">
        <v>7.84</v>
      </c>
      <c r="E6">
        <v>41.67</v>
      </c>
      <c r="F6">
        <f t="shared" si="2"/>
        <v>24.755000000000003</v>
      </c>
      <c r="G6">
        <v>5</v>
      </c>
      <c r="H6">
        <v>9</v>
      </c>
      <c r="I6">
        <v>10</v>
      </c>
      <c r="J6" s="11" t="str">
        <f t="shared" si="0"/>
        <v>2</v>
      </c>
      <c r="K6" s="11">
        <v>5</v>
      </c>
      <c r="L6" s="11"/>
      <c r="N6" s="4">
        <f t="shared" si="1"/>
        <v>3</v>
      </c>
      <c r="O6" s="4"/>
    </row>
    <row r="7" spans="1:30" x14ac:dyDescent="0.3">
      <c r="A7" t="s">
        <v>27</v>
      </c>
      <c r="B7" t="s">
        <v>28</v>
      </c>
      <c r="C7">
        <v>220</v>
      </c>
      <c r="D7">
        <v>72.27</v>
      </c>
      <c r="E7">
        <v>64.739999999999995</v>
      </c>
      <c r="F7">
        <f t="shared" si="2"/>
        <v>68.504999999999995</v>
      </c>
      <c r="G7">
        <v>2</v>
      </c>
      <c r="H7">
        <v>15</v>
      </c>
      <c r="I7">
        <v>13</v>
      </c>
      <c r="J7" s="11" t="str">
        <f t="shared" si="0"/>
        <v>4</v>
      </c>
      <c r="K7" s="11">
        <v>5</v>
      </c>
      <c r="L7" s="11"/>
      <c r="N7" s="4">
        <f t="shared" si="1"/>
        <v>1</v>
      </c>
      <c r="O7" s="4"/>
    </row>
    <row r="8" spans="1:30" x14ac:dyDescent="0.3">
      <c r="A8" t="s">
        <v>29</v>
      </c>
      <c r="B8" t="s">
        <v>30</v>
      </c>
      <c r="C8">
        <v>180</v>
      </c>
      <c r="D8">
        <v>63.33</v>
      </c>
      <c r="E8">
        <v>68.42</v>
      </c>
      <c r="F8">
        <f t="shared" si="2"/>
        <v>65.875</v>
      </c>
      <c r="G8">
        <v>2</v>
      </c>
      <c r="H8">
        <v>15</v>
      </c>
      <c r="I8">
        <v>13</v>
      </c>
      <c r="J8" s="11" t="str">
        <f t="shared" si="0"/>
        <v>4</v>
      </c>
      <c r="K8" s="11">
        <v>5</v>
      </c>
      <c r="L8" s="11"/>
      <c r="N8" s="4">
        <f t="shared" si="1"/>
        <v>1</v>
      </c>
      <c r="O8" s="4"/>
    </row>
    <row r="9" spans="1:30" x14ac:dyDescent="0.3">
      <c r="A9" t="s">
        <v>31</v>
      </c>
      <c r="B9" t="s">
        <v>32</v>
      </c>
      <c r="C9">
        <v>81</v>
      </c>
      <c r="D9">
        <v>18.52</v>
      </c>
      <c r="E9">
        <v>50</v>
      </c>
      <c r="F9">
        <f t="shared" si="2"/>
        <v>34.26</v>
      </c>
      <c r="G9">
        <v>5</v>
      </c>
      <c r="H9">
        <v>3</v>
      </c>
      <c r="I9">
        <v>16</v>
      </c>
      <c r="J9" s="11" t="str">
        <f t="shared" si="0"/>
        <v>2</v>
      </c>
      <c r="K9" s="11">
        <v>5</v>
      </c>
      <c r="N9" s="4">
        <f t="shared" si="1"/>
        <v>3</v>
      </c>
      <c r="O9" s="4"/>
    </row>
    <row r="10" spans="1:30" x14ac:dyDescent="0.3">
      <c r="A10" t="s">
        <v>33</v>
      </c>
      <c r="B10" t="s">
        <v>34</v>
      </c>
      <c r="C10">
        <v>272</v>
      </c>
      <c r="D10">
        <v>20.22</v>
      </c>
      <c r="E10">
        <v>54.05</v>
      </c>
      <c r="F10">
        <f t="shared" si="2"/>
        <v>37.134999999999998</v>
      </c>
      <c r="G10">
        <v>16</v>
      </c>
      <c r="H10">
        <v>5</v>
      </c>
      <c r="I10">
        <v>13</v>
      </c>
      <c r="J10" s="11" t="str">
        <f t="shared" si="0"/>
        <v>2</v>
      </c>
      <c r="K10" s="11">
        <v>5</v>
      </c>
      <c r="N10" s="4">
        <f t="shared" si="1"/>
        <v>3</v>
      </c>
      <c r="O10" s="4"/>
    </row>
    <row r="11" spans="1:30" x14ac:dyDescent="0.3">
      <c r="A11" t="s">
        <v>35</v>
      </c>
      <c r="B11" t="s">
        <v>36</v>
      </c>
      <c r="C11">
        <v>168</v>
      </c>
      <c r="D11">
        <v>27.38</v>
      </c>
      <c r="E11">
        <v>53.85</v>
      </c>
      <c r="F11">
        <f t="shared" si="2"/>
        <v>40.615000000000002</v>
      </c>
      <c r="G11">
        <v>16</v>
      </c>
      <c r="H11">
        <v>3</v>
      </c>
      <c r="I11">
        <v>10</v>
      </c>
      <c r="J11" s="11" t="str">
        <f t="shared" si="0"/>
        <v>3</v>
      </c>
      <c r="K11" s="11">
        <v>5</v>
      </c>
      <c r="N11" s="4">
        <f t="shared" si="1"/>
        <v>2</v>
      </c>
      <c r="O11" s="4"/>
    </row>
    <row r="12" spans="1:30" x14ac:dyDescent="0.3">
      <c r="A12" t="s">
        <v>37</v>
      </c>
      <c r="B12" t="s">
        <v>38</v>
      </c>
      <c r="C12">
        <v>313</v>
      </c>
      <c r="D12">
        <v>31.63</v>
      </c>
      <c r="E12">
        <v>64.94</v>
      </c>
      <c r="F12">
        <f t="shared" si="2"/>
        <v>48.284999999999997</v>
      </c>
      <c r="G12">
        <v>16</v>
      </c>
      <c r="H12">
        <v>5</v>
      </c>
      <c r="I12">
        <v>12</v>
      </c>
      <c r="J12" s="11" t="str">
        <f t="shared" si="0"/>
        <v>3</v>
      </c>
      <c r="K12" s="11">
        <v>5</v>
      </c>
      <c r="N12" s="4">
        <f t="shared" si="1"/>
        <v>2</v>
      </c>
      <c r="O12" s="4"/>
    </row>
    <row r="13" spans="1:30" x14ac:dyDescent="0.3">
      <c r="A13" t="s">
        <v>39</v>
      </c>
      <c r="B13" t="s">
        <v>40</v>
      </c>
      <c r="C13">
        <v>107</v>
      </c>
      <c r="D13">
        <v>29.91</v>
      </c>
      <c r="E13">
        <v>48.15</v>
      </c>
      <c r="F13">
        <f t="shared" si="2"/>
        <v>39.03</v>
      </c>
      <c r="G13">
        <v>16</v>
      </c>
      <c r="H13">
        <v>5</v>
      </c>
      <c r="I13">
        <v>9</v>
      </c>
      <c r="J13" s="11" t="str">
        <f t="shared" si="0"/>
        <v>2</v>
      </c>
      <c r="K13" s="11">
        <v>5</v>
      </c>
      <c r="N13" s="4">
        <f t="shared" si="1"/>
        <v>3</v>
      </c>
      <c r="O13" s="4"/>
    </row>
    <row r="14" spans="1:30" x14ac:dyDescent="0.3">
      <c r="A14" t="s">
        <v>41</v>
      </c>
      <c r="B14" t="s">
        <v>42</v>
      </c>
      <c r="C14">
        <v>5</v>
      </c>
      <c r="D14">
        <v>80</v>
      </c>
      <c r="E14">
        <v>60</v>
      </c>
      <c r="F14">
        <f t="shared" si="2"/>
        <v>70</v>
      </c>
      <c r="G14">
        <v>15</v>
      </c>
      <c r="H14">
        <v>4</v>
      </c>
      <c r="I14">
        <v>3</v>
      </c>
      <c r="J14" s="11" t="str">
        <f t="shared" si="0"/>
        <v>4</v>
      </c>
      <c r="K14" s="11">
        <v>5</v>
      </c>
      <c r="N14" s="4">
        <f t="shared" si="1"/>
        <v>1</v>
      </c>
      <c r="O14" s="4"/>
    </row>
    <row r="15" spans="1:30" x14ac:dyDescent="0.3">
      <c r="A15" t="s">
        <v>43</v>
      </c>
      <c r="B15" t="s">
        <v>44</v>
      </c>
      <c r="C15">
        <v>62</v>
      </c>
      <c r="D15">
        <v>24.19</v>
      </c>
      <c r="E15">
        <v>50</v>
      </c>
      <c r="F15">
        <f t="shared" si="2"/>
        <v>37.094999999999999</v>
      </c>
      <c r="G15">
        <v>13</v>
      </c>
      <c r="H15">
        <v>8</v>
      </c>
      <c r="I15">
        <v>3</v>
      </c>
      <c r="J15" s="11" t="str">
        <f t="shared" si="0"/>
        <v>2</v>
      </c>
      <c r="K15" s="11">
        <v>5</v>
      </c>
      <c r="N15" s="4">
        <f t="shared" si="1"/>
        <v>3</v>
      </c>
      <c r="O15" s="4"/>
    </row>
    <row r="16" spans="1:30" x14ac:dyDescent="0.3">
      <c r="A16" t="s">
        <v>45</v>
      </c>
      <c r="B16" t="s">
        <v>46</v>
      </c>
      <c r="C16">
        <v>3219</v>
      </c>
      <c r="D16">
        <v>69.459999999999994</v>
      </c>
      <c r="E16">
        <v>39.18</v>
      </c>
      <c r="F16">
        <f t="shared" si="2"/>
        <v>54.319999999999993</v>
      </c>
      <c r="G16">
        <v>13</v>
      </c>
      <c r="H16">
        <v>7</v>
      </c>
      <c r="I16">
        <v>15</v>
      </c>
      <c r="J16" s="11" t="str">
        <f t="shared" si="0"/>
        <v>3</v>
      </c>
      <c r="K16" s="11">
        <v>5</v>
      </c>
      <c r="N16" s="4">
        <f t="shared" si="1"/>
        <v>2</v>
      </c>
      <c r="O16" s="4"/>
    </row>
    <row r="17" spans="1:15" x14ac:dyDescent="0.3">
      <c r="A17" t="s">
        <v>47</v>
      </c>
      <c r="B17" t="s">
        <v>48</v>
      </c>
      <c r="C17">
        <v>18</v>
      </c>
      <c r="D17">
        <v>33.33</v>
      </c>
      <c r="E17">
        <v>50</v>
      </c>
      <c r="F17">
        <f t="shared" si="2"/>
        <v>41.664999999999999</v>
      </c>
      <c r="G17">
        <v>16</v>
      </c>
      <c r="H17">
        <v>13</v>
      </c>
      <c r="I17">
        <v>15</v>
      </c>
      <c r="J17" s="11" t="str">
        <f t="shared" si="0"/>
        <v>3</v>
      </c>
      <c r="K17" s="11">
        <v>5</v>
      </c>
      <c r="L17" s="11"/>
      <c r="N17" s="4">
        <f t="shared" si="1"/>
        <v>2</v>
      </c>
      <c r="O17" s="4"/>
    </row>
    <row r="18" spans="1:15" x14ac:dyDescent="0.3">
      <c r="A18" t="s">
        <v>49</v>
      </c>
      <c r="B18" t="s">
        <v>50</v>
      </c>
      <c r="C18">
        <v>316</v>
      </c>
      <c r="D18">
        <v>58.23</v>
      </c>
      <c r="E18">
        <v>55.36</v>
      </c>
      <c r="F18">
        <f t="shared" si="2"/>
        <v>56.795000000000002</v>
      </c>
      <c r="G18">
        <v>7</v>
      </c>
      <c r="H18">
        <v>13</v>
      </c>
      <c r="I18">
        <v>12</v>
      </c>
      <c r="J18" s="11" t="str">
        <f t="shared" si="0"/>
        <v>3</v>
      </c>
      <c r="K18" s="11">
        <v>5</v>
      </c>
      <c r="N18" s="4">
        <f t="shared" si="1"/>
        <v>2</v>
      </c>
      <c r="O18" s="4"/>
    </row>
    <row r="19" spans="1:15" x14ac:dyDescent="0.3">
      <c r="A19" t="s">
        <v>51</v>
      </c>
      <c r="B19" t="s">
        <v>52</v>
      </c>
      <c r="C19">
        <v>17</v>
      </c>
      <c r="D19">
        <v>17.649999999999999</v>
      </c>
      <c r="E19">
        <v>33.33</v>
      </c>
      <c r="F19">
        <f t="shared" si="2"/>
        <v>25.49</v>
      </c>
      <c r="G19">
        <v>4</v>
      </c>
      <c r="H19">
        <v>15</v>
      </c>
      <c r="I19">
        <v>16</v>
      </c>
      <c r="J19" s="11" t="str">
        <f t="shared" si="0"/>
        <v>2</v>
      </c>
      <c r="K19" s="11">
        <v>5</v>
      </c>
      <c r="N19" s="4">
        <f t="shared" si="1"/>
        <v>3</v>
      </c>
      <c r="O19" s="4"/>
    </row>
    <row r="20" spans="1:15" x14ac:dyDescent="0.3">
      <c r="A20" t="s">
        <v>53</v>
      </c>
      <c r="B20" t="s">
        <v>54</v>
      </c>
      <c r="C20">
        <v>177</v>
      </c>
      <c r="D20">
        <v>21.47</v>
      </c>
      <c r="E20">
        <v>40</v>
      </c>
      <c r="F20">
        <f t="shared" si="2"/>
        <v>30.734999999999999</v>
      </c>
      <c r="G20">
        <v>8</v>
      </c>
      <c r="H20">
        <v>5</v>
      </c>
      <c r="I20">
        <v>3</v>
      </c>
      <c r="J20" s="11" t="str">
        <f t="shared" si="0"/>
        <v>2</v>
      </c>
      <c r="K20" s="11">
        <v>5</v>
      </c>
      <c r="N20" s="4">
        <f t="shared" si="1"/>
        <v>3</v>
      </c>
      <c r="O20" s="4"/>
    </row>
    <row r="21" spans="1:15" x14ac:dyDescent="0.3">
      <c r="A21" t="s">
        <v>55</v>
      </c>
      <c r="B21" t="s">
        <v>56</v>
      </c>
      <c r="C21">
        <v>324</v>
      </c>
      <c r="D21">
        <v>62.35</v>
      </c>
      <c r="E21">
        <v>79.010000000000005</v>
      </c>
      <c r="F21">
        <f t="shared" si="2"/>
        <v>70.680000000000007</v>
      </c>
      <c r="G21">
        <v>2</v>
      </c>
      <c r="H21">
        <v>13</v>
      </c>
      <c r="I21">
        <v>12</v>
      </c>
      <c r="J21" s="11" t="str">
        <f t="shared" si="0"/>
        <v>4</v>
      </c>
      <c r="K21" s="11">
        <v>5</v>
      </c>
      <c r="N21" s="4">
        <f t="shared" si="1"/>
        <v>1</v>
      </c>
      <c r="O21" s="4"/>
    </row>
    <row r="22" spans="1:15" x14ac:dyDescent="0.3">
      <c r="A22" t="s">
        <v>57</v>
      </c>
      <c r="B22" t="s">
        <v>2</v>
      </c>
      <c r="C22">
        <v>272</v>
      </c>
      <c r="D22">
        <v>79.78</v>
      </c>
      <c r="E22">
        <v>85.99</v>
      </c>
      <c r="F22">
        <f t="shared" si="2"/>
        <v>82.884999999999991</v>
      </c>
      <c r="G22">
        <v>3</v>
      </c>
      <c r="H22">
        <v>16</v>
      </c>
      <c r="I22">
        <v>2</v>
      </c>
      <c r="J22" s="11" t="str">
        <f t="shared" si="0"/>
        <v>5</v>
      </c>
      <c r="K22" s="11">
        <v>5</v>
      </c>
      <c r="N22" s="4">
        <f t="shared" si="1"/>
        <v>0</v>
      </c>
      <c r="O22" s="4"/>
    </row>
    <row r="23" spans="1:15" x14ac:dyDescent="0.3">
      <c r="A23" t="s">
        <v>58</v>
      </c>
      <c r="B23" t="s">
        <v>59</v>
      </c>
      <c r="C23">
        <v>231</v>
      </c>
      <c r="D23">
        <v>67.53</v>
      </c>
      <c r="E23">
        <v>85.53</v>
      </c>
      <c r="F23">
        <f t="shared" si="2"/>
        <v>76.53</v>
      </c>
      <c r="G23">
        <v>5</v>
      </c>
      <c r="H23">
        <v>4</v>
      </c>
      <c r="I23">
        <v>10</v>
      </c>
      <c r="J23" s="11" t="str">
        <f t="shared" si="0"/>
        <v>4</v>
      </c>
      <c r="K23" s="11">
        <v>5</v>
      </c>
      <c r="N23" s="4">
        <f t="shared" si="1"/>
        <v>1</v>
      </c>
      <c r="O23" s="4"/>
    </row>
    <row r="24" spans="1:15" x14ac:dyDescent="0.3">
      <c r="A24" t="s">
        <v>60</v>
      </c>
      <c r="B24" t="s">
        <v>59</v>
      </c>
      <c r="C24">
        <v>166</v>
      </c>
      <c r="D24">
        <v>65.66</v>
      </c>
      <c r="E24">
        <v>82.88</v>
      </c>
      <c r="F24">
        <f t="shared" si="2"/>
        <v>74.27</v>
      </c>
      <c r="G24">
        <v>5</v>
      </c>
      <c r="H24">
        <v>4</v>
      </c>
      <c r="I24">
        <v>8</v>
      </c>
      <c r="J24" s="11" t="str">
        <f t="shared" si="0"/>
        <v>4</v>
      </c>
      <c r="K24" s="11">
        <v>4</v>
      </c>
      <c r="N24" s="4">
        <f t="shared" si="1"/>
        <v>0</v>
      </c>
      <c r="O24" s="4"/>
    </row>
    <row r="25" spans="1:15" x14ac:dyDescent="0.3">
      <c r="A25" t="s">
        <v>61</v>
      </c>
      <c r="B25" t="s">
        <v>56</v>
      </c>
      <c r="C25">
        <v>330</v>
      </c>
      <c r="D25">
        <v>59.7</v>
      </c>
      <c r="E25">
        <v>83.43</v>
      </c>
      <c r="F25">
        <f t="shared" si="2"/>
        <v>71.564999999999998</v>
      </c>
      <c r="G25">
        <v>2</v>
      </c>
      <c r="H25">
        <v>13</v>
      </c>
      <c r="I25">
        <v>12</v>
      </c>
      <c r="J25" s="11" t="str">
        <f t="shared" si="0"/>
        <v>4</v>
      </c>
      <c r="K25" s="11">
        <v>5</v>
      </c>
      <c r="L25" s="11"/>
      <c r="N25" s="4">
        <f t="shared" si="1"/>
        <v>1</v>
      </c>
      <c r="O25" s="4"/>
    </row>
    <row r="26" spans="1:15" x14ac:dyDescent="0.3">
      <c r="A26" t="s">
        <v>62</v>
      </c>
      <c r="B26" t="s">
        <v>63</v>
      </c>
      <c r="C26">
        <v>259</v>
      </c>
      <c r="D26">
        <v>20.46</v>
      </c>
      <c r="E26">
        <v>37.14</v>
      </c>
      <c r="F26">
        <f t="shared" si="2"/>
        <v>28.8</v>
      </c>
      <c r="G26">
        <v>5</v>
      </c>
      <c r="H26">
        <v>8</v>
      </c>
      <c r="I26">
        <v>16</v>
      </c>
      <c r="J26" s="11" t="str">
        <f t="shared" si="0"/>
        <v>2</v>
      </c>
      <c r="K26" s="11">
        <v>5</v>
      </c>
      <c r="L26" s="11"/>
      <c r="N26" s="4">
        <f t="shared" si="1"/>
        <v>3</v>
      </c>
      <c r="O26" s="4"/>
    </row>
    <row r="27" spans="1:15" x14ac:dyDescent="0.3">
      <c r="A27" t="s">
        <v>64</v>
      </c>
      <c r="B27" t="s">
        <v>65</v>
      </c>
      <c r="C27">
        <v>193</v>
      </c>
      <c r="D27">
        <v>45.08</v>
      </c>
      <c r="E27">
        <v>76.62</v>
      </c>
      <c r="F27">
        <f t="shared" si="2"/>
        <v>60.85</v>
      </c>
      <c r="G27">
        <v>2</v>
      </c>
      <c r="H27">
        <v>12</v>
      </c>
      <c r="I27">
        <v>9</v>
      </c>
      <c r="J27" s="11" t="str">
        <f t="shared" si="0"/>
        <v>4</v>
      </c>
      <c r="K27" s="11">
        <v>5</v>
      </c>
      <c r="L27" s="11"/>
      <c r="N27" s="4">
        <f t="shared" si="1"/>
        <v>1</v>
      </c>
      <c r="O27" s="4"/>
    </row>
    <row r="28" spans="1:15" x14ac:dyDescent="0.3">
      <c r="A28" t="s">
        <v>66</v>
      </c>
      <c r="B28" t="s">
        <v>67</v>
      </c>
      <c r="C28">
        <v>203</v>
      </c>
      <c r="D28">
        <v>66.5</v>
      </c>
      <c r="E28">
        <v>71.739999999999995</v>
      </c>
      <c r="F28">
        <f t="shared" si="2"/>
        <v>69.12</v>
      </c>
      <c r="G28">
        <v>2</v>
      </c>
      <c r="H28">
        <v>13</v>
      </c>
      <c r="I28">
        <v>15</v>
      </c>
      <c r="J28" s="11" t="str">
        <f t="shared" si="0"/>
        <v>4</v>
      </c>
      <c r="K28" s="11">
        <v>5</v>
      </c>
      <c r="L28" s="11"/>
      <c r="N28" s="4">
        <f t="shared" si="1"/>
        <v>1</v>
      </c>
      <c r="O28" s="4"/>
    </row>
    <row r="29" spans="1:15" x14ac:dyDescent="0.3">
      <c r="A29" t="s">
        <v>68</v>
      </c>
      <c r="B29" t="s">
        <v>69</v>
      </c>
      <c r="C29">
        <v>212</v>
      </c>
      <c r="D29">
        <v>78.77</v>
      </c>
      <c r="E29">
        <v>40.520000000000003</v>
      </c>
      <c r="F29">
        <f t="shared" si="2"/>
        <v>59.644999999999996</v>
      </c>
      <c r="G29">
        <v>13</v>
      </c>
      <c r="H29">
        <v>7</v>
      </c>
      <c r="I29">
        <v>15</v>
      </c>
      <c r="J29" s="11" t="str">
        <f t="shared" si="0"/>
        <v>3</v>
      </c>
      <c r="K29" s="11">
        <v>5</v>
      </c>
      <c r="N29" s="4">
        <f t="shared" si="1"/>
        <v>2</v>
      </c>
      <c r="O29" s="4"/>
    </row>
    <row r="30" spans="1:15" x14ac:dyDescent="0.3">
      <c r="A30" t="s">
        <v>70</v>
      </c>
      <c r="B30" t="s">
        <v>71</v>
      </c>
      <c r="C30">
        <v>202</v>
      </c>
      <c r="D30">
        <v>76.73</v>
      </c>
      <c r="E30">
        <v>70.95</v>
      </c>
      <c r="F30">
        <f t="shared" si="2"/>
        <v>73.84</v>
      </c>
      <c r="G30">
        <v>7</v>
      </c>
      <c r="H30">
        <v>13</v>
      </c>
      <c r="I30">
        <v>11</v>
      </c>
      <c r="J30" s="11" t="str">
        <f t="shared" si="0"/>
        <v>4</v>
      </c>
      <c r="K30" s="11">
        <v>5</v>
      </c>
      <c r="N30" s="4">
        <f t="shared" si="1"/>
        <v>1</v>
      </c>
      <c r="O30" s="4"/>
    </row>
    <row r="31" spans="1:15" x14ac:dyDescent="0.3">
      <c r="A31" t="s">
        <v>72</v>
      </c>
      <c r="B31" t="s">
        <v>73</v>
      </c>
      <c r="C31">
        <v>2</v>
      </c>
      <c r="D31">
        <v>100</v>
      </c>
      <c r="E31">
        <v>50</v>
      </c>
      <c r="F31">
        <f t="shared" si="2"/>
        <v>75</v>
      </c>
      <c r="G31">
        <v>15</v>
      </c>
      <c r="H31">
        <v>3</v>
      </c>
      <c r="J31" s="11" t="str">
        <f t="shared" si="0"/>
        <v>4</v>
      </c>
      <c r="K31" s="11">
        <v>5</v>
      </c>
      <c r="N31" s="4">
        <f t="shared" si="1"/>
        <v>1</v>
      </c>
      <c r="O31" s="4"/>
    </row>
    <row r="32" spans="1:15" ht="16.95" customHeight="1" x14ac:dyDescent="0.3">
      <c r="A32" t="s">
        <v>74</v>
      </c>
      <c r="B32" t="s">
        <v>75</v>
      </c>
      <c r="C32">
        <v>3</v>
      </c>
      <c r="D32">
        <v>33.33</v>
      </c>
      <c r="E32">
        <v>100</v>
      </c>
      <c r="F32">
        <f t="shared" si="2"/>
        <v>66.664999999999992</v>
      </c>
      <c r="G32">
        <v>3</v>
      </c>
      <c r="J32" s="11" t="str">
        <f t="shared" si="0"/>
        <v>4</v>
      </c>
      <c r="K32" s="11">
        <v>5</v>
      </c>
      <c r="N32" s="4">
        <f t="shared" si="1"/>
        <v>1</v>
      </c>
      <c r="O32" s="4"/>
    </row>
    <row r="33" spans="1:15" x14ac:dyDescent="0.3">
      <c r="A33" t="s">
        <v>76</v>
      </c>
      <c r="B33" t="s">
        <v>77</v>
      </c>
      <c r="C33">
        <v>177</v>
      </c>
      <c r="D33">
        <v>53.11</v>
      </c>
      <c r="E33">
        <v>64.790000000000006</v>
      </c>
      <c r="F33">
        <f t="shared" si="2"/>
        <v>58.95</v>
      </c>
      <c r="G33">
        <v>6</v>
      </c>
      <c r="H33">
        <v>2</v>
      </c>
      <c r="I33">
        <v>13</v>
      </c>
      <c r="J33" s="11" t="str">
        <f t="shared" si="0"/>
        <v>3</v>
      </c>
      <c r="K33" s="11">
        <v>5</v>
      </c>
      <c r="N33" s="4">
        <f t="shared" si="1"/>
        <v>2</v>
      </c>
      <c r="O33" s="4"/>
    </row>
    <row r="34" spans="1:15" x14ac:dyDescent="0.3">
      <c r="A34" t="s">
        <v>78</v>
      </c>
      <c r="B34" t="s">
        <v>79</v>
      </c>
      <c r="C34">
        <v>42</v>
      </c>
      <c r="D34">
        <v>16.670000000000002</v>
      </c>
      <c r="E34">
        <v>33.33</v>
      </c>
      <c r="F34">
        <f t="shared" si="2"/>
        <v>25</v>
      </c>
      <c r="G34">
        <v>11</v>
      </c>
      <c r="H34">
        <v>3</v>
      </c>
      <c r="I34">
        <v>7</v>
      </c>
      <c r="J34" s="11" t="str">
        <f t="shared" ref="J34:J65" si="3">IF(F34&gt;$U$1,"5",IF(F34&gt;$V$1,"4",IF(F34&gt;$W$1,"3",IF(F34&gt;$X$1,"2",IF(F34&gt;$Y$1,"1",IF(F34&gt;$Z$1,"0"))))))</f>
        <v>2</v>
      </c>
      <c r="K34" s="11">
        <v>5</v>
      </c>
      <c r="N34" s="4">
        <f t="shared" si="1"/>
        <v>3</v>
      </c>
      <c r="O34" s="4"/>
    </row>
    <row r="35" spans="1:15" x14ac:dyDescent="0.3">
      <c r="A35" t="s">
        <v>80</v>
      </c>
      <c r="B35" t="s">
        <v>81</v>
      </c>
      <c r="C35">
        <v>166</v>
      </c>
      <c r="D35">
        <v>11.45</v>
      </c>
      <c r="E35">
        <v>38.46</v>
      </c>
      <c r="F35">
        <f t="shared" si="2"/>
        <v>24.954999999999998</v>
      </c>
      <c r="G35">
        <v>16</v>
      </c>
      <c r="H35">
        <v>9</v>
      </c>
      <c r="I35">
        <v>10</v>
      </c>
      <c r="J35" s="11" t="str">
        <f t="shared" si="3"/>
        <v>2</v>
      </c>
      <c r="K35" s="11">
        <v>5</v>
      </c>
      <c r="N35" s="4">
        <f t="shared" si="1"/>
        <v>3</v>
      </c>
      <c r="O35" s="4"/>
    </row>
    <row r="36" spans="1:15" x14ac:dyDescent="0.3">
      <c r="A36" t="s">
        <v>82</v>
      </c>
      <c r="B36" t="s">
        <v>83</v>
      </c>
      <c r="C36">
        <v>138</v>
      </c>
      <c r="D36">
        <v>39.86</v>
      </c>
      <c r="E36">
        <v>61.36</v>
      </c>
      <c r="F36">
        <f t="shared" si="2"/>
        <v>50.61</v>
      </c>
      <c r="G36">
        <v>2</v>
      </c>
      <c r="H36">
        <v>15</v>
      </c>
      <c r="I36">
        <v>12</v>
      </c>
      <c r="J36" s="11" t="str">
        <f t="shared" si="3"/>
        <v>3</v>
      </c>
      <c r="K36" s="11">
        <v>5</v>
      </c>
      <c r="N36" s="4">
        <f t="shared" si="1"/>
        <v>2</v>
      </c>
      <c r="O36" s="4"/>
    </row>
    <row r="37" spans="1:15" x14ac:dyDescent="0.3">
      <c r="A37" t="s">
        <v>84</v>
      </c>
      <c r="B37" t="s">
        <v>85</v>
      </c>
      <c r="C37">
        <v>227</v>
      </c>
      <c r="D37">
        <v>16.3</v>
      </c>
      <c r="E37">
        <v>37.5</v>
      </c>
      <c r="F37">
        <f t="shared" si="2"/>
        <v>26.9</v>
      </c>
      <c r="G37">
        <v>6</v>
      </c>
      <c r="H37">
        <v>3</v>
      </c>
      <c r="I37">
        <v>9</v>
      </c>
      <c r="J37" s="11" t="str">
        <f t="shared" si="3"/>
        <v>2</v>
      </c>
      <c r="K37" s="11">
        <v>5</v>
      </c>
      <c r="N37" s="4">
        <f t="shared" si="1"/>
        <v>3</v>
      </c>
      <c r="O37" s="4"/>
    </row>
    <row r="38" spans="1:15" x14ac:dyDescent="0.3">
      <c r="A38" t="s">
        <v>86</v>
      </c>
      <c r="B38" t="s">
        <v>87</v>
      </c>
      <c r="C38">
        <v>418</v>
      </c>
      <c r="D38">
        <v>23.68</v>
      </c>
      <c r="E38">
        <v>58.44</v>
      </c>
      <c r="F38">
        <f t="shared" si="2"/>
        <v>41.06</v>
      </c>
      <c r="G38">
        <v>3</v>
      </c>
      <c r="H38">
        <v>5</v>
      </c>
      <c r="I38">
        <v>16</v>
      </c>
      <c r="J38" s="11" t="str">
        <f t="shared" si="3"/>
        <v>3</v>
      </c>
      <c r="K38" s="11">
        <v>5</v>
      </c>
      <c r="N38" s="4">
        <f t="shared" si="1"/>
        <v>2</v>
      </c>
      <c r="O38" s="4"/>
    </row>
    <row r="39" spans="1:15" x14ac:dyDescent="0.3">
      <c r="A39" t="s">
        <v>88</v>
      </c>
      <c r="B39" t="s">
        <v>89</v>
      </c>
      <c r="C39">
        <v>1047</v>
      </c>
      <c r="D39">
        <v>28.18</v>
      </c>
      <c r="E39">
        <v>65.02</v>
      </c>
      <c r="F39">
        <f t="shared" si="2"/>
        <v>46.599999999999994</v>
      </c>
      <c r="G39">
        <v>16</v>
      </c>
      <c r="H39">
        <v>5</v>
      </c>
      <c r="I39">
        <v>12</v>
      </c>
      <c r="J39" s="11" t="str">
        <f t="shared" si="3"/>
        <v>3</v>
      </c>
      <c r="K39" s="11">
        <v>5</v>
      </c>
      <c r="N39" s="4">
        <f t="shared" si="1"/>
        <v>2</v>
      </c>
      <c r="O39" s="4"/>
    </row>
    <row r="40" spans="1:15" x14ac:dyDescent="0.3">
      <c r="A40" t="s">
        <v>90</v>
      </c>
      <c r="B40" t="s">
        <v>91</v>
      </c>
      <c r="C40">
        <v>204</v>
      </c>
      <c r="D40">
        <v>15.2</v>
      </c>
      <c r="E40">
        <v>37.5</v>
      </c>
      <c r="F40">
        <f t="shared" si="2"/>
        <v>26.35</v>
      </c>
      <c r="G40">
        <v>8</v>
      </c>
      <c r="H40">
        <v>9</v>
      </c>
      <c r="I40">
        <v>16</v>
      </c>
      <c r="J40" s="11" t="str">
        <f t="shared" si="3"/>
        <v>2</v>
      </c>
      <c r="K40" s="11">
        <v>5</v>
      </c>
      <c r="N40" s="4">
        <f t="shared" si="1"/>
        <v>3</v>
      </c>
      <c r="O40" s="4"/>
    </row>
    <row r="41" spans="1:15" x14ac:dyDescent="0.3">
      <c r="A41" t="s">
        <v>92</v>
      </c>
      <c r="B41" t="s">
        <v>93</v>
      </c>
      <c r="C41">
        <v>131</v>
      </c>
      <c r="D41">
        <v>13.74</v>
      </c>
      <c r="E41">
        <v>69.23</v>
      </c>
      <c r="F41">
        <f t="shared" si="2"/>
        <v>41.484999999999999</v>
      </c>
      <c r="G41">
        <v>3</v>
      </c>
      <c r="H41">
        <v>16</v>
      </c>
      <c r="I41">
        <v>10</v>
      </c>
      <c r="J41" s="11" t="str">
        <f t="shared" si="3"/>
        <v>3</v>
      </c>
      <c r="K41" s="11">
        <v>5</v>
      </c>
      <c r="N41" s="4">
        <f t="shared" si="1"/>
        <v>2</v>
      </c>
      <c r="O41" s="4"/>
    </row>
    <row r="42" spans="1:15" x14ac:dyDescent="0.3">
      <c r="A42" t="s">
        <v>94</v>
      </c>
      <c r="B42" t="s">
        <v>95</v>
      </c>
      <c r="C42">
        <v>173</v>
      </c>
      <c r="D42">
        <v>7.51</v>
      </c>
      <c r="E42">
        <v>60</v>
      </c>
      <c r="F42">
        <f t="shared" si="2"/>
        <v>33.755000000000003</v>
      </c>
      <c r="G42">
        <v>3</v>
      </c>
      <c r="H42">
        <v>12</v>
      </c>
      <c r="I42">
        <v>16</v>
      </c>
      <c r="J42" s="11" t="str">
        <f t="shared" si="3"/>
        <v>2</v>
      </c>
      <c r="K42" s="11">
        <v>5</v>
      </c>
      <c r="N42" s="4">
        <f t="shared" si="1"/>
        <v>3</v>
      </c>
      <c r="O42" s="4"/>
    </row>
    <row r="43" spans="1:15" x14ac:dyDescent="0.3">
      <c r="A43" t="s">
        <v>96</v>
      </c>
      <c r="B43" t="s">
        <v>97</v>
      </c>
      <c r="C43">
        <v>64</v>
      </c>
      <c r="D43">
        <v>65.62</v>
      </c>
      <c r="E43">
        <v>43.24</v>
      </c>
      <c r="F43">
        <f t="shared" si="2"/>
        <v>54.430000000000007</v>
      </c>
      <c r="G43">
        <v>16</v>
      </c>
      <c r="H43">
        <v>15</v>
      </c>
      <c r="I43">
        <v>13</v>
      </c>
      <c r="J43" s="11" t="str">
        <f t="shared" si="3"/>
        <v>3</v>
      </c>
      <c r="K43" s="11">
        <v>5</v>
      </c>
      <c r="N43" s="4">
        <f t="shared" si="1"/>
        <v>2</v>
      </c>
      <c r="O43" s="4"/>
    </row>
    <row r="44" spans="1:15" x14ac:dyDescent="0.3">
      <c r="A44" t="s">
        <v>98</v>
      </c>
      <c r="B44" t="s">
        <v>99</v>
      </c>
      <c r="C44">
        <v>241</v>
      </c>
      <c r="D44">
        <v>10.37</v>
      </c>
      <c r="E44">
        <v>75</v>
      </c>
      <c r="F44">
        <f t="shared" si="2"/>
        <v>42.685000000000002</v>
      </c>
      <c r="G44">
        <v>8</v>
      </c>
      <c r="H44">
        <v>13</v>
      </c>
      <c r="I44">
        <v>10</v>
      </c>
      <c r="J44" s="11" t="str">
        <f t="shared" si="3"/>
        <v>3</v>
      </c>
      <c r="K44" s="11">
        <v>5</v>
      </c>
      <c r="N44" s="4">
        <f t="shared" si="1"/>
        <v>2</v>
      </c>
      <c r="O44" s="4"/>
    </row>
    <row r="45" spans="1:15" x14ac:dyDescent="0.3">
      <c r="A45" t="s">
        <v>100</v>
      </c>
      <c r="B45" t="s">
        <v>101</v>
      </c>
      <c r="C45">
        <v>496</v>
      </c>
      <c r="D45">
        <v>10.28</v>
      </c>
      <c r="E45">
        <v>61.29</v>
      </c>
      <c r="F45">
        <f t="shared" si="2"/>
        <v>35.784999999999997</v>
      </c>
      <c r="G45">
        <v>8</v>
      </c>
      <c r="H45">
        <v>5</v>
      </c>
      <c r="I45">
        <v>16</v>
      </c>
      <c r="J45" s="11" t="str">
        <f t="shared" si="3"/>
        <v>2</v>
      </c>
      <c r="K45" s="11">
        <v>5</v>
      </c>
      <c r="N45" s="4">
        <f t="shared" si="1"/>
        <v>3</v>
      </c>
      <c r="O45" s="4"/>
    </row>
    <row r="46" spans="1:15" x14ac:dyDescent="0.3">
      <c r="A46" t="s">
        <v>102</v>
      </c>
      <c r="B46" t="s">
        <v>103</v>
      </c>
      <c r="C46">
        <v>352</v>
      </c>
      <c r="D46">
        <v>13.92</v>
      </c>
      <c r="E46">
        <v>48.57</v>
      </c>
      <c r="F46">
        <f t="shared" si="2"/>
        <v>31.245000000000001</v>
      </c>
      <c r="G46">
        <v>8</v>
      </c>
      <c r="H46">
        <v>9</v>
      </c>
      <c r="I46">
        <v>16</v>
      </c>
      <c r="J46" s="11" t="str">
        <f t="shared" si="3"/>
        <v>2</v>
      </c>
      <c r="K46" s="11">
        <v>5</v>
      </c>
      <c r="N46" s="4">
        <f t="shared" si="1"/>
        <v>3</v>
      </c>
      <c r="O46" s="4"/>
    </row>
    <row r="47" spans="1:15" x14ac:dyDescent="0.3">
      <c r="A47" t="s">
        <v>104</v>
      </c>
      <c r="B47" t="s">
        <v>105</v>
      </c>
      <c r="C47">
        <v>108</v>
      </c>
      <c r="D47">
        <v>72.22</v>
      </c>
      <c r="E47">
        <v>89.04</v>
      </c>
      <c r="F47">
        <f t="shared" si="2"/>
        <v>80.63</v>
      </c>
      <c r="G47">
        <v>2</v>
      </c>
      <c r="H47">
        <v>3</v>
      </c>
      <c r="I47">
        <v>6</v>
      </c>
      <c r="J47" s="11" t="str">
        <f t="shared" si="3"/>
        <v>5</v>
      </c>
      <c r="K47" s="11">
        <v>5</v>
      </c>
      <c r="N47" s="4">
        <f t="shared" si="1"/>
        <v>0</v>
      </c>
      <c r="O47" s="4"/>
    </row>
    <row r="48" spans="1:15" x14ac:dyDescent="0.3">
      <c r="A48" t="s">
        <v>106</v>
      </c>
      <c r="B48" t="s">
        <v>107</v>
      </c>
      <c r="C48">
        <v>285</v>
      </c>
      <c r="D48">
        <v>17.190000000000001</v>
      </c>
      <c r="E48">
        <v>58.06</v>
      </c>
      <c r="F48">
        <f t="shared" si="2"/>
        <v>37.625</v>
      </c>
      <c r="G48">
        <v>16</v>
      </c>
      <c r="H48">
        <v>9</v>
      </c>
      <c r="I48">
        <v>7</v>
      </c>
      <c r="J48" s="11" t="str">
        <f t="shared" si="3"/>
        <v>2</v>
      </c>
      <c r="K48" s="11">
        <v>5</v>
      </c>
      <c r="N48" s="4">
        <f t="shared" si="1"/>
        <v>3</v>
      </c>
      <c r="O48" s="4"/>
    </row>
    <row r="49" spans="1:15" x14ac:dyDescent="0.3">
      <c r="A49" t="s">
        <v>108</v>
      </c>
      <c r="B49" t="s">
        <v>109</v>
      </c>
      <c r="C49">
        <v>327</v>
      </c>
      <c r="D49">
        <v>23.55</v>
      </c>
      <c r="E49">
        <v>40.380000000000003</v>
      </c>
      <c r="F49">
        <f t="shared" si="2"/>
        <v>31.965000000000003</v>
      </c>
      <c r="G49">
        <v>8</v>
      </c>
      <c r="H49">
        <v>16</v>
      </c>
      <c r="I49">
        <v>5</v>
      </c>
      <c r="J49" s="11" t="str">
        <f t="shared" si="3"/>
        <v>2</v>
      </c>
      <c r="K49" s="11">
        <v>5</v>
      </c>
      <c r="N49" s="4">
        <f t="shared" si="1"/>
        <v>3</v>
      </c>
      <c r="O49" s="4"/>
    </row>
    <row r="50" spans="1:15" x14ac:dyDescent="0.3">
      <c r="A50" t="s">
        <v>110</v>
      </c>
      <c r="B50" t="s">
        <v>111</v>
      </c>
      <c r="C50">
        <v>154</v>
      </c>
      <c r="D50">
        <v>12.99</v>
      </c>
      <c r="E50">
        <v>38.46</v>
      </c>
      <c r="F50">
        <f t="shared" si="2"/>
        <v>25.725000000000001</v>
      </c>
      <c r="G50">
        <v>3</v>
      </c>
      <c r="H50">
        <v>9</v>
      </c>
      <c r="I50">
        <v>8</v>
      </c>
      <c r="J50" s="11" t="str">
        <f t="shared" si="3"/>
        <v>2</v>
      </c>
      <c r="K50" s="11">
        <v>5</v>
      </c>
      <c r="N50" s="4">
        <f t="shared" si="1"/>
        <v>3</v>
      </c>
      <c r="O50" s="4"/>
    </row>
    <row r="51" spans="1:15" x14ac:dyDescent="0.3">
      <c r="A51" t="s">
        <v>112</v>
      </c>
      <c r="B51" t="s">
        <v>113</v>
      </c>
      <c r="C51">
        <v>247</v>
      </c>
      <c r="D51">
        <v>11.34</v>
      </c>
      <c r="E51">
        <v>43.75</v>
      </c>
      <c r="F51">
        <f t="shared" si="2"/>
        <v>27.545000000000002</v>
      </c>
      <c r="G51">
        <v>4</v>
      </c>
      <c r="H51">
        <v>3</v>
      </c>
      <c r="I51">
        <v>9</v>
      </c>
      <c r="J51" s="11" t="str">
        <f t="shared" si="3"/>
        <v>2</v>
      </c>
      <c r="K51" s="11">
        <v>5</v>
      </c>
      <c r="N51" s="4">
        <f t="shared" si="1"/>
        <v>3</v>
      </c>
      <c r="O51" s="4"/>
    </row>
    <row r="52" spans="1:15" x14ac:dyDescent="0.3">
      <c r="A52" t="s">
        <v>114</v>
      </c>
      <c r="B52" t="s">
        <v>115</v>
      </c>
      <c r="C52">
        <v>307</v>
      </c>
      <c r="D52">
        <v>14.01</v>
      </c>
      <c r="E52">
        <v>43.33</v>
      </c>
      <c r="F52">
        <f t="shared" si="2"/>
        <v>28.669999999999998</v>
      </c>
      <c r="G52">
        <v>16</v>
      </c>
      <c r="H52">
        <v>10</v>
      </c>
      <c r="I52">
        <v>3</v>
      </c>
      <c r="J52" s="11" t="str">
        <f t="shared" si="3"/>
        <v>2</v>
      </c>
      <c r="K52" s="11">
        <v>5</v>
      </c>
      <c r="N52" s="4">
        <f t="shared" si="1"/>
        <v>3</v>
      </c>
      <c r="O52" s="4"/>
    </row>
    <row r="53" spans="1:15" x14ac:dyDescent="0.3">
      <c r="A53" t="s">
        <v>116</v>
      </c>
      <c r="B53" t="s">
        <v>117</v>
      </c>
      <c r="C53">
        <v>145</v>
      </c>
      <c r="D53">
        <v>31.72</v>
      </c>
      <c r="E53">
        <v>42.11</v>
      </c>
      <c r="F53">
        <f t="shared" si="2"/>
        <v>36.914999999999999</v>
      </c>
      <c r="G53">
        <v>9</v>
      </c>
      <c r="H53">
        <v>12</v>
      </c>
      <c r="I53">
        <v>3</v>
      </c>
      <c r="J53" s="11" t="str">
        <f t="shared" si="3"/>
        <v>2</v>
      </c>
      <c r="K53" s="11">
        <v>5</v>
      </c>
      <c r="N53" s="4">
        <f t="shared" si="1"/>
        <v>3</v>
      </c>
      <c r="O53" s="4"/>
    </row>
    <row r="54" spans="1:15" x14ac:dyDescent="0.3">
      <c r="A54" t="s">
        <v>118</v>
      </c>
      <c r="B54" t="s">
        <v>119</v>
      </c>
      <c r="C54">
        <v>17</v>
      </c>
      <c r="D54">
        <v>64.709999999999994</v>
      </c>
      <c r="E54">
        <v>68.75</v>
      </c>
      <c r="F54">
        <f t="shared" si="2"/>
        <v>66.72999999999999</v>
      </c>
      <c r="G54">
        <v>7</v>
      </c>
      <c r="H54">
        <v>13</v>
      </c>
      <c r="I54">
        <v>15</v>
      </c>
      <c r="J54" s="11" t="str">
        <f t="shared" si="3"/>
        <v>4</v>
      </c>
      <c r="K54" s="11">
        <v>5</v>
      </c>
      <c r="N54" s="4">
        <f t="shared" si="1"/>
        <v>1</v>
      </c>
      <c r="O54" s="4"/>
    </row>
    <row r="55" spans="1:15" x14ac:dyDescent="0.3">
      <c r="A55" t="s">
        <v>120</v>
      </c>
      <c r="B55" t="s">
        <v>121</v>
      </c>
      <c r="C55">
        <v>171</v>
      </c>
      <c r="D55">
        <v>38.01</v>
      </c>
      <c r="E55">
        <v>54.76</v>
      </c>
      <c r="F55">
        <f t="shared" si="2"/>
        <v>46.384999999999998</v>
      </c>
      <c r="G55">
        <v>13</v>
      </c>
      <c r="H55">
        <v>8</v>
      </c>
      <c r="I55">
        <v>9</v>
      </c>
      <c r="J55" s="11" t="str">
        <f t="shared" si="3"/>
        <v>3</v>
      </c>
      <c r="K55" s="11">
        <v>5</v>
      </c>
      <c r="N55" s="4">
        <f t="shared" si="1"/>
        <v>2</v>
      </c>
      <c r="O55" s="4"/>
    </row>
    <row r="56" spans="1:15" x14ac:dyDescent="0.3">
      <c r="A56" t="s">
        <v>122</v>
      </c>
      <c r="B56" t="s">
        <v>4</v>
      </c>
      <c r="C56">
        <v>7</v>
      </c>
      <c r="D56">
        <v>42.86</v>
      </c>
      <c r="E56">
        <v>33.33</v>
      </c>
      <c r="F56">
        <f t="shared" si="2"/>
        <v>38.094999999999999</v>
      </c>
      <c r="G56">
        <v>9</v>
      </c>
      <c r="H56">
        <v>13</v>
      </c>
      <c r="I56">
        <v>16</v>
      </c>
      <c r="J56" s="11" t="str">
        <f t="shared" si="3"/>
        <v>2</v>
      </c>
      <c r="K56" s="11">
        <v>5</v>
      </c>
      <c r="N56" s="4">
        <f t="shared" si="1"/>
        <v>3</v>
      </c>
      <c r="O56" s="4"/>
    </row>
    <row r="57" spans="1:15" x14ac:dyDescent="0.3">
      <c r="A57" t="s">
        <v>123</v>
      </c>
      <c r="B57" t="s">
        <v>124</v>
      </c>
      <c r="C57">
        <v>545</v>
      </c>
      <c r="D57">
        <v>48.26</v>
      </c>
      <c r="E57">
        <v>35.82</v>
      </c>
      <c r="F57">
        <f t="shared" si="2"/>
        <v>42.04</v>
      </c>
      <c r="G57">
        <v>11</v>
      </c>
      <c r="H57">
        <v>8</v>
      </c>
      <c r="I57">
        <v>15</v>
      </c>
      <c r="J57" s="11" t="str">
        <f t="shared" si="3"/>
        <v>3</v>
      </c>
      <c r="K57" s="11">
        <v>5</v>
      </c>
      <c r="N57" s="4">
        <f t="shared" si="1"/>
        <v>2</v>
      </c>
      <c r="O57" s="4"/>
    </row>
    <row r="58" spans="1:15" x14ac:dyDescent="0.3">
      <c r="A58" t="s">
        <v>125</v>
      </c>
      <c r="B58" t="s">
        <v>126</v>
      </c>
      <c r="C58">
        <v>50</v>
      </c>
      <c r="D58">
        <v>34</v>
      </c>
      <c r="E58">
        <v>70.59</v>
      </c>
      <c r="F58">
        <f t="shared" si="2"/>
        <v>52.295000000000002</v>
      </c>
      <c r="G58">
        <v>16</v>
      </c>
      <c r="H58">
        <v>3</v>
      </c>
      <c r="I58">
        <v>11</v>
      </c>
      <c r="J58" s="11" t="str">
        <f t="shared" si="3"/>
        <v>3</v>
      </c>
      <c r="K58" s="11">
        <v>5</v>
      </c>
      <c r="N58" s="4">
        <f t="shared" si="1"/>
        <v>2</v>
      </c>
      <c r="O58" s="4"/>
    </row>
    <row r="59" spans="1:15" x14ac:dyDescent="0.3">
      <c r="A59" t="s">
        <v>127</v>
      </c>
      <c r="B59" t="s">
        <v>128</v>
      </c>
      <c r="C59">
        <v>668</v>
      </c>
      <c r="D59">
        <v>71.86</v>
      </c>
      <c r="E59">
        <v>50.54</v>
      </c>
      <c r="F59">
        <f t="shared" si="2"/>
        <v>61.2</v>
      </c>
      <c r="G59">
        <v>15</v>
      </c>
      <c r="H59">
        <v>11</v>
      </c>
      <c r="I59">
        <v>3</v>
      </c>
      <c r="J59" s="11" t="str">
        <f t="shared" si="3"/>
        <v>4</v>
      </c>
      <c r="K59" s="11">
        <v>5</v>
      </c>
      <c r="N59" s="4">
        <f t="shared" si="1"/>
        <v>1</v>
      </c>
      <c r="O59" s="4"/>
    </row>
    <row r="60" spans="1:15" x14ac:dyDescent="0.3">
      <c r="A60" t="s">
        <v>129</v>
      </c>
      <c r="B60" t="s">
        <v>130</v>
      </c>
      <c r="C60">
        <v>42</v>
      </c>
      <c r="D60">
        <v>14.29</v>
      </c>
      <c r="E60">
        <v>60</v>
      </c>
      <c r="F60">
        <f t="shared" si="2"/>
        <v>37.144999999999996</v>
      </c>
      <c r="G60">
        <v>3</v>
      </c>
      <c r="H60">
        <v>16</v>
      </c>
      <c r="I60">
        <v>11</v>
      </c>
      <c r="J60" s="11" t="str">
        <f t="shared" si="3"/>
        <v>2</v>
      </c>
      <c r="K60" s="11">
        <v>5</v>
      </c>
      <c r="N60" s="4">
        <f t="shared" si="1"/>
        <v>3</v>
      </c>
      <c r="O60" s="4"/>
    </row>
    <row r="61" spans="1:15" x14ac:dyDescent="0.3">
      <c r="A61" t="s">
        <v>131</v>
      </c>
      <c r="B61" t="s">
        <v>132</v>
      </c>
      <c r="C61">
        <v>1517</v>
      </c>
      <c r="D61">
        <v>12.2</v>
      </c>
      <c r="E61">
        <v>40</v>
      </c>
      <c r="F61">
        <f t="shared" si="2"/>
        <v>26.1</v>
      </c>
      <c r="G61">
        <v>8</v>
      </c>
      <c r="H61">
        <v>9</v>
      </c>
      <c r="I61">
        <v>3</v>
      </c>
      <c r="J61" s="11" t="str">
        <f t="shared" si="3"/>
        <v>2</v>
      </c>
      <c r="K61" s="11">
        <v>5</v>
      </c>
      <c r="N61" s="4">
        <f t="shared" si="1"/>
        <v>3</v>
      </c>
      <c r="O61" s="4"/>
    </row>
    <row r="62" spans="1:15" x14ac:dyDescent="0.3">
      <c r="A62" t="s">
        <v>133</v>
      </c>
      <c r="B62" t="s">
        <v>134</v>
      </c>
      <c r="C62">
        <v>14</v>
      </c>
      <c r="D62">
        <v>7.14</v>
      </c>
      <c r="E62">
        <v>100</v>
      </c>
      <c r="F62">
        <f t="shared" si="2"/>
        <v>53.57</v>
      </c>
      <c r="G62">
        <v>3</v>
      </c>
      <c r="J62" s="11" t="str">
        <f t="shared" si="3"/>
        <v>3</v>
      </c>
      <c r="K62" s="11">
        <v>5</v>
      </c>
      <c r="N62" s="4">
        <f t="shared" si="1"/>
        <v>2</v>
      </c>
      <c r="O62" s="4"/>
    </row>
    <row r="63" spans="1:15" x14ac:dyDescent="0.3">
      <c r="A63" t="s">
        <v>135</v>
      </c>
      <c r="B63" t="s">
        <v>136</v>
      </c>
      <c r="C63">
        <v>157</v>
      </c>
      <c r="D63">
        <v>77.069999999999993</v>
      </c>
      <c r="E63">
        <v>45.61</v>
      </c>
      <c r="F63">
        <f t="shared" si="2"/>
        <v>61.339999999999996</v>
      </c>
      <c r="G63">
        <v>7</v>
      </c>
      <c r="H63">
        <v>13</v>
      </c>
      <c r="I63">
        <v>15</v>
      </c>
      <c r="J63" s="11" t="str">
        <f t="shared" si="3"/>
        <v>4</v>
      </c>
      <c r="K63" s="11">
        <v>5</v>
      </c>
      <c r="N63" s="4">
        <f t="shared" si="1"/>
        <v>1</v>
      </c>
      <c r="O63" s="4"/>
    </row>
    <row r="64" spans="1:15" x14ac:dyDescent="0.3">
      <c r="A64" t="s">
        <v>137</v>
      </c>
      <c r="B64" t="s">
        <v>3</v>
      </c>
      <c r="C64">
        <v>418</v>
      </c>
      <c r="D64">
        <v>74.64</v>
      </c>
      <c r="E64">
        <v>47.06</v>
      </c>
      <c r="F64">
        <f t="shared" si="2"/>
        <v>60.85</v>
      </c>
      <c r="G64">
        <v>15</v>
      </c>
      <c r="H64">
        <v>13</v>
      </c>
      <c r="I64">
        <v>2</v>
      </c>
      <c r="J64" s="11" t="str">
        <f t="shared" si="3"/>
        <v>4</v>
      </c>
      <c r="K64" s="11">
        <v>5</v>
      </c>
      <c r="N64" s="4">
        <f t="shared" si="1"/>
        <v>1</v>
      </c>
      <c r="O64" s="4"/>
    </row>
    <row r="65" spans="1:15" x14ac:dyDescent="0.3">
      <c r="A65" t="s">
        <v>138</v>
      </c>
      <c r="B65" t="s">
        <v>139</v>
      </c>
      <c r="C65">
        <v>244</v>
      </c>
      <c r="D65">
        <v>16.39</v>
      </c>
      <c r="E65">
        <v>40.619999999999997</v>
      </c>
      <c r="F65">
        <f t="shared" si="2"/>
        <v>28.504999999999999</v>
      </c>
      <c r="G65">
        <v>16</v>
      </c>
      <c r="H65">
        <v>5</v>
      </c>
      <c r="I65">
        <v>3</v>
      </c>
      <c r="J65" s="11" t="str">
        <f t="shared" si="3"/>
        <v>2</v>
      </c>
      <c r="K65" s="11">
        <v>5</v>
      </c>
      <c r="N65" s="4">
        <f t="shared" si="1"/>
        <v>3</v>
      </c>
      <c r="O65" s="4"/>
    </row>
    <row r="66" spans="1:15" x14ac:dyDescent="0.3">
      <c r="A66" t="s">
        <v>140</v>
      </c>
      <c r="B66" t="s">
        <v>141</v>
      </c>
      <c r="C66">
        <v>55</v>
      </c>
      <c r="D66">
        <v>30.91</v>
      </c>
      <c r="E66">
        <v>57.14</v>
      </c>
      <c r="F66">
        <f t="shared" si="2"/>
        <v>44.024999999999999</v>
      </c>
      <c r="G66">
        <v>12</v>
      </c>
      <c r="H66">
        <v>13</v>
      </c>
      <c r="I66">
        <v>16</v>
      </c>
      <c r="J66" s="11" t="str">
        <f t="shared" ref="J66:J97" si="4">IF(F66&gt;$U$1,"5",IF(F66&gt;$V$1,"4",IF(F66&gt;$W$1,"3",IF(F66&gt;$X$1,"2",IF(F66&gt;$Y$1,"1",IF(F66&gt;$Z$1,"0"))))))</f>
        <v>3</v>
      </c>
      <c r="K66" s="11">
        <v>5</v>
      </c>
      <c r="N66" s="4">
        <f t="shared" ref="N66:N101" si="5">ABS(J66-K66)</f>
        <v>2</v>
      </c>
      <c r="O66" s="4"/>
    </row>
    <row r="67" spans="1:15" x14ac:dyDescent="0.3">
      <c r="A67" t="s">
        <v>142</v>
      </c>
      <c r="B67" t="s">
        <v>143</v>
      </c>
      <c r="C67">
        <v>89</v>
      </c>
      <c r="D67">
        <v>8.99</v>
      </c>
      <c r="E67">
        <v>33.33</v>
      </c>
      <c r="F67">
        <f t="shared" ref="F67:F90" si="6">$Q$1*D67+$R$1*E67</f>
        <v>21.16</v>
      </c>
      <c r="G67">
        <v>3</v>
      </c>
      <c r="H67">
        <v>7</v>
      </c>
      <c r="I67">
        <v>10</v>
      </c>
      <c r="J67" s="11" t="str">
        <f t="shared" si="4"/>
        <v>2</v>
      </c>
      <c r="K67" s="11">
        <v>5</v>
      </c>
      <c r="N67" s="4">
        <f t="shared" si="5"/>
        <v>3</v>
      </c>
      <c r="O67" s="4"/>
    </row>
    <row r="68" spans="1:15" x14ac:dyDescent="0.3">
      <c r="A68" t="s">
        <v>144</v>
      </c>
      <c r="B68" t="s">
        <v>145</v>
      </c>
      <c r="C68">
        <v>61</v>
      </c>
      <c r="D68">
        <v>11.48</v>
      </c>
      <c r="E68">
        <v>40</v>
      </c>
      <c r="F68">
        <f t="shared" si="6"/>
        <v>25.740000000000002</v>
      </c>
      <c r="G68">
        <v>5</v>
      </c>
      <c r="H68">
        <v>3</v>
      </c>
      <c r="I68">
        <v>13</v>
      </c>
      <c r="J68" s="11" t="str">
        <f t="shared" si="4"/>
        <v>2</v>
      </c>
      <c r="K68" s="11">
        <v>5</v>
      </c>
      <c r="L68" s="11"/>
      <c r="N68" s="4">
        <f t="shared" si="5"/>
        <v>3</v>
      </c>
      <c r="O68" s="4"/>
    </row>
    <row r="69" spans="1:15" x14ac:dyDescent="0.3">
      <c r="A69" t="s">
        <v>146</v>
      </c>
      <c r="B69" t="s">
        <v>147</v>
      </c>
      <c r="C69">
        <v>226</v>
      </c>
      <c r="D69">
        <v>15.49</v>
      </c>
      <c r="E69">
        <v>41.67</v>
      </c>
      <c r="F69">
        <f t="shared" si="6"/>
        <v>28.580000000000002</v>
      </c>
      <c r="G69">
        <v>16</v>
      </c>
      <c r="H69">
        <v>11</v>
      </c>
      <c r="I69">
        <v>10</v>
      </c>
      <c r="J69" s="11" t="str">
        <f t="shared" si="4"/>
        <v>2</v>
      </c>
      <c r="K69" s="11">
        <v>5</v>
      </c>
      <c r="L69" s="11"/>
      <c r="N69" s="4">
        <f t="shared" si="5"/>
        <v>3</v>
      </c>
      <c r="O69" s="4"/>
    </row>
    <row r="70" spans="1:15" x14ac:dyDescent="0.3">
      <c r="A70" t="s">
        <v>148</v>
      </c>
      <c r="B70" t="s">
        <v>149</v>
      </c>
      <c r="C70">
        <v>835</v>
      </c>
      <c r="D70">
        <v>20</v>
      </c>
      <c r="E70">
        <v>35.85</v>
      </c>
      <c r="F70">
        <f t="shared" si="6"/>
        <v>27.925000000000001</v>
      </c>
      <c r="G70">
        <v>3</v>
      </c>
      <c r="H70">
        <v>12</v>
      </c>
      <c r="I70">
        <v>9</v>
      </c>
      <c r="J70" s="11" t="str">
        <f t="shared" si="4"/>
        <v>2</v>
      </c>
      <c r="K70" s="11">
        <v>5</v>
      </c>
      <c r="N70" s="4">
        <f t="shared" si="5"/>
        <v>3</v>
      </c>
      <c r="O70" s="4"/>
    </row>
    <row r="71" spans="1:15" x14ac:dyDescent="0.3">
      <c r="A71" t="s">
        <v>150</v>
      </c>
      <c r="B71" t="s">
        <v>151</v>
      </c>
      <c r="C71">
        <v>1346</v>
      </c>
      <c r="D71">
        <v>36.4</v>
      </c>
      <c r="E71">
        <v>60.79</v>
      </c>
      <c r="F71">
        <f t="shared" si="6"/>
        <v>48.594999999999999</v>
      </c>
      <c r="G71">
        <v>7</v>
      </c>
      <c r="H71">
        <v>13</v>
      </c>
      <c r="I71">
        <v>12</v>
      </c>
      <c r="J71" s="11" t="str">
        <f t="shared" si="4"/>
        <v>3</v>
      </c>
      <c r="K71" s="11">
        <v>5</v>
      </c>
      <c r="N71" s="4">
        <f t="shared" si="5"/>
        <v>2</v>
      </c>
      <c r="O71" s="4"/>
    </row>
    <row r="72" spans="1:15" x14ac:dyDescent="0.3">
      <c r="A72" t="s">
        <v>152</v>
      </c>
      <c r="B72" t="s">
        <v>153</v>
      </c>
      <c r="C72">
        <v>102</v>
      </c>
      <c r="D72">
        <v>39.22</v>
      </c>
      <c r="E72">
        <v>52</v>
      </c>
      <c r="F72">
        <f t="shared" si="6"/>
        <v>45.61</v>
      </c>
      <c r="G72">
        <v>8</v>
      </c>
      <c r="H72">
        <v>3</v>
      </c>
      <c r="I72">
        <v>5</v>
      </c>
      <c r="J72" s="11" t="str">
        <f t="shared" si="4"/>
        <v>3</v>
      </c>
      <c r="K72" s="11">
        <v>5</v>
      </c>
      <c r="N72" s="4">
        <f t="shared" si="5"/>
        <v>2</v>
      </c>
      <c r="O72" s="4"/>
    </row>
    <row r="73" spans="1:15" x14ac:dyDescent="0.3">
      <c r="A73" t="s">
        <v>154</v>
      </c>
      <c r="B73" t="s">
        <v>155</v>
      </c>
      <c r="C73">
        <v>272</v>
      </c>
      <c r="D73">
        <v>10.29</v>
      </c>
      <c r="E73">
        <v>41.67</v>
      </c>
      <c r="F73">
        <f t="shared" si="6"/>
        <v>25.98</v>
      </c>
      <c r="G73">
        <v>8</v>
      </c>
      <c r="H73">
        <v>16</v>
      </c>
      <c r="I73">
        <v>13</v>
      </c>
      <c r="J73" s="11" t="str">
        <f t="shared" si="4"/>
        <v>2</v>
      </c>
      <c r="K73" s="11">
        <v>5</v>
      </c>
      <c r="N73" s="4">
        <f t="shared" si="5"/>
        <v>3</v>
      </c>
      <c r="O73" s="4"/>
    </row>
    <row r="74" spans="1:15" x14ac:dyDescent="0.3">
      <c r="A74" t="s">
        <v>156</v>
      </c>
      <c r="B74" t="s">
        <v>157</v>
      </c>
      <c r="C74">
        <v>180</v>
      </c>
      <c r="D74">
        <v>26.11</v>
      </c>
      <c r="E74">
        <v>58.06</v>
      </c>
      <c r="F74">
        <f t="shared" si="6"/>
        <v>42.085000000000001</v>
      </c>
      <c r="G74">
        <v>8</v>
      </c>
      <c r="H74">
        <v>10</v>
      </c>
      <c r="I74">
        <v>3</v>
      </c>
      <c r="J74" s="11" t="str">
        <f t="shared" si="4"/>
        <v>3</v>
      </c>
      <c r="K74" s="11">
        <v>5</v>
      </c>
      <c r="N74" s="4">
        <f t="shared" si="5"/>
        <v>2</v>
      </c>
      <c r="O74" s="4"/>
    </row>
    <row r="75" spans="1:15" x14ac:dyDescent="0.3">
      <c r="A75" t="s">
        <v>158</v>
      </c>
      <c r="B75" t="s">
        <v>159</v>
      </c>
      <c r="C75">
        <v>175</v>
      </c>
      <c r="D75">
        <v>12.57</v>
      </c>
      <c r="E75">
        <v>68.42</v>
      </c>
      <c r="F75">
        <f t="shared" si="6"/>
        <v>40.495000000000005</v>
      </c>
      <c r="G75">
        <v>8</v>
      </c>
      <c r="H75">
        <v>13</v>
      </c>
      <c r="I75">
        <v>16</v>
      </c>
      <c r="J75" s="11" t="str">
        <f t="shared" si="4"/>
        <v>3</v>
      </c>
      <c r="K75" s="11">
        <v>5</v>
      </c>
      <c r="N75" s="4">
        <f t="shared" si="5"/>
        <v>2</v>
      </c>
      <c r="O75" s="4"/>
    </row>
    <row r="76" spans="1:15" x14ac:dyDescent="0.3">
      <c r="A76" t="s">
        <v>160</v>
      </c>
      <c r="B76" t="s">
        <v>161</v>
      </c>
      <c r="C76">
        <v>579</v>
      </c>
      <c r="D76">
        <v>37.65</v>
      </c>
      <c r="E76">
        <v>56.55</v>
      </c>
      <c r="F76">
        <f t="shared" si="6"/>
        <v>47.099999999999994</v>
      </c>
      <c r="G76">
        <v>9</v>
      </c>
      <c r="H76">
        <v>8</v>
      </c>
      <c r="I76">
        <v>4</v>
      </c>
      <c r="J76" s="11" t="str">
        <f t="shared" si="4"/>
        <v>3</v>
      </c>
      <c r="K76" s="11">
        <v>5</v>
      </c>
      <c r="N76" s="4">
        <f t="shared" si="5"/>
        <v>2</v>
      </c>
      <c r="O76" s="4"/>
    </row>
    <row r="77" spans="1:15" x14ac:dyDescent="0.3">
      <c r="A77" t="s">
        <v>162</v>
      </c>
      <c r="B77" t="s">
        <v>163</v>
      </c>
      <c r="C77">
        <v>43906</v>
      </c>
      <c r="D77">
        <v>57.69</v>
      </c>
      <c r="E77">
        <v>35.99</v>
      </c>
      <c r="F77">
        <f t="shared" si="6"/>
        <v>46.84</v>
      </c>
      <c r="G77">
        <v>11</v>
      </c>
      <c r="H77">
        <v>7</v>
      </c>
      <c r="I77">
        <v>13</v>
      </c>
      <c r="J77" s="11" t="str">
        <f t="shared" si="4"/>
        <v>3</v>
      </c>
      <c r="K77" s="11">
        <v>5</v>
      </c>
      <c r="N77" s="4">
        <f t="shared" si="5"/>
        <v>2</v>
      </c>
      <c r="O77" s="4"/>
    </row>
    <row r="78" spans="1:15" x14ac:dyDescent="0.3">
      <c r="A78" t="s">
        <v>164</v>
      </c>
      <c r="B78" t="s">
        <v>165</v>
      </c>
      <c r="C78">
        <v>194</v>
      </c>
      <c r="D78">
        <v>29.9</v>
      </c>
      <c r="E78">
        <v>40</v>
      </c>
      <c r="F78">
        <f t="shared" si="6"/>
        <v>34.950000000000003</v>
      </c>
      <c r="G78">
        <v>12</v>
      </c>
      <c r="H78">
        <v>13</v>
      </c>
      <c r="I78">
        <v>4</v>
      </c>
      <c r="J78" s="11" t="str">
        <f t="shared" si="4"/>
        <v>2</v>
      </c>
      <c r="K78" s="11">
        <v>5</v>
      </c>
      <c r="N78" s="4">
        <f t="shared" si="5"/>
        <v>3</v>
      </c>
      <c r="O78" s="4"/>
    </row>
    <row r="79" spans="1:15" x14ac:dyDescent="0.3">
      <c r="A79" t="s">
        <v>166</v>
      </c>
      <c r="B79" t="s">
        <v>167</v>
      </c>
      <c r="C79">
        <v>700</v>
      </c>
      <c r="D79">
        <v>72.86</v>
      </c>
      <c r="E79">
        <v>36.020000000000003</v>
      </c>
      <c r="F79">
        <f t="shared" si="6"/>
        <v>54.44</v>
      </c>
      <c r="G79">
        <v>13</v>
      </c>
      <c r="H79">
        <v>7</v>
      </c>
      <c r="I79">
        <v>12</v>
      </c>
      <c r="J79" s="11" t="str">
        <f t="shared" si="4"/>
        <v>3</v>
      </c>
      <c r="K79" s="11">
        <v>2</v>
      </c>
      <c r="N79" s="4">
        <f t="shared" si="5"/>
        <v>1</v>
      </c>
      <c r="O79" s="4"/>
    </row>
    <row r="80" spans="1:15" x14ac:dyDescent="0.3">
      <c r="A80" t="s">
        <v>168</v>
      </c>
      <c r="B80" t="s">
        <v>169</v>
      </c>
      <c r="C80">
        <v>40</v>
      </c>
      <c r="D80">
        <v>42.5</v>
      </c>
      <c r="E80">
        <v>62.5</v>
      </c>
      <c r="F80">
        <f t="shared" si="6"/>
        <v>52.5</v>
      </c>
      <c r="G80">
        <v>13</v>
      </c>
      <c r="H80">
        <v>15</v>
      </c>
      <c r="I80">
        <v>8</v>
      </c>
      <c r="J80" s="11" t="str">
        <f t="shared" si="4"/>
        <v>3</v>
      </c>
      <c r="K80" s="11">
        <v>4</v>
      </c>
      <c r="N80" s="4">
        <f t="shared" si="5"/>
        <v>1</v>
      </c>
      <c r="O80" s="4"/>
    </row>
    <row r="81" spans="1:15" x14ac:dyDescent="0.3">
      <c r="A81" t="s">
        <v>170</v>
      </c>
      <c r="B81" t="s">
        <v>171</v>
      </c>
      <c r="C81">
        <v>109</v>
      </c>
      <c r="D81">
        <v>31.19</v>
      </c>
      <c r="E81">
        <v>48.15</v>
      </c>
      <c r="F81">
        <f t="shared" si="6"/>
        <v>39.67</v>
      </c>
      <c r="G81">
        <v>8</v>
      </c>
      <c r="H81">
        <v>9</v>
      </c>
      <c r="I81">
        <v>3</v>
      </c>
      <c r="J81" s="11" t="str">
        <f t="shared" si="4"/>
        <v>2</v>
      </c>
      <c r="K81" s="11">
        <v>5</v>
      </c>
      <c r="L81" s="11"/>
      <c r="N81" s="4">
        <f t="shared" si="5"/>
        <v>3</v>
      </c>
      <c r="O81" s="4"/>
    </row>
    <row r="82" spans="1:15" x14ac:dyDescent="0.3">
      <c r="A82" t="s">
        <v>172</v>
      </c>
      <c r="B82" t="s">
        <v>173</v>
      </c>
      <c r="C82">
        <v>373</v>
      </c>
      <c r="D82">
        <v>24.13</v>
      </c>
      <c r="E82">
        <v>51.43</v>
      </c>
      <c r="F82">
        <f t="shared" si="6"/>
        <v>37.78</v>
      </c>
      <c r="G82">
        <v>9</v>
      </c>
      <c r="H82">
        <v>8</v>
      </c>
      <c r="I82">
        <v>16</v>
      </c>
      <c r="J82" s="11" t="str">
        <f t="shared" si="4"/>
        <v>2</v>
      </c>
      <c r="K82" s="11">
        <v>5</v>
      </c>
      <c r="L82" s="11"/>
      <c r="N82" s="4">
        <f t="shared" si="5"/>
        <v>3</v>
      </c>
      <c r="O82" s="4"/>
    </row>
    <row r="83" spans="1:15" x14ac:dyDescent="0.3">
      <c r="A83" t="s">
        <v>174</v>
      </c>
      <c r="B83" t="s">
        <v>175</v>
      </c>
      <c r="C83">
        <v>472</v>
      </c>
      <c r="D83">
        <v>64.19</v>
      </c>
      <c r="E83">
        <v>42.79</v>
      </c>
      <c r="F83">
        <f t="shared" si="6"/>
        <v>53.489999999999995</v>
      </c>
      <c r="G83">
        <v>15</v>
      </c>
      <c r="H83">
        <v>13</v>
      </c>
      <c r="I83">
        <v>2</v>
      </c>
      <c r="J83" s="11" t="str">
        <f t="shared" si="4"/>
        <v>3</v>
      </c>
      <c r="K83" s="11">
        <v>5</v>
      </c>
      <c r="L83" s="11"/>
      <c r="N83" s="4">
        <f t="shared" si="5"/>
        <v>2</v>
      </c>
    </row>
    <row r="84" spans="1:15" x14ac:dyDescent="0.3">
      <c r="A84" t="s">
        <v>176</v>
      </c>
      <c r="B84" t="s">
        <v>175</v>
      </c>
      <c r="C84">
        <v>472</v>
      </c>
      <c r="D84">
        <v>64.19</v>
      </c>
      <c r="E84">
        <v>42.79</v>
      </c>
      <c r="F84">
        <f t="shared" si="6"/>
        <v>53.489999999999995</v>
      </c>
      <c r="G84">
        <v>15</v>
      </c>
      <c r="H84">
        <v>13</v>
      </c>
      <c r="I84">
        <v>2</v>
      </c>
      <c r="J84" s="11" t="str">
        <f t="shared" si="4"/>
        <v>3</v>
      </c>
      <c r="K84" s="11">
        <v>5</v>
      </c>
      <c r="L84" s="11"/>
      <c r="N84" s="4">
        <f t="shared" si="5"/>
        <v>2</v>
      </c>
    </row>
    <row r="85" spans="1:15" x14ac:dyDescent="0.3">
      <c r="A85" t="s">
        <v>177</v>
      </c>
      <c r="B85" t="s">
        <v>178</v>
      </c>
      <c r="C85">
        <v>214</v>
      </c>
      <c r="D85">
        <v>58.88</v>
      </c>
      <c r="E85">
        <v>53.21</v>
      </c>
      <c r="F85">
        <f t="shared" si="6"/>
        <v>56.045000000000002</v>
      </c>
      <c r="G85">
        <v>11</v>
      </c>
      <c r="H85">
        <v>7</v>
      </c>
      <c r="I85">
        <v>12</v>
      </c>
      <c r="J85" s="11" t="str">
        <f t="shared" si="4"/>
        <v>3</v>
      </c>
      <c r="K85" s="11">
        <v>5</v>
      </c>
      <c r="L85" s="11"/>
      <c r="N85" s="4">
        <f t="shared" si="5"/>
        <v>2</v>
      </c>
    </row>
    <row r="86" spans="1:15" x14ac:dyDescent="0.3">
      <c r="A86" t="s">
        <v>179</v>
      </c>
      <c r="B86" t="s">
        <v>14</v>
      </c>
      <c r="C86">
        <v>107</v>
      </c>
      <c r="D86">
        <v>69.16</v>
      </c>
      <c r="E86">
        <v>50.88</v>
      </c>
      <c r="F86">
        <f t="shared" si="6"/>
        <v>60.019999999999996</v>
      </c>
      <c r="G86">
        <v>12</v>
      </c>
      <c r="H86">
        <v>7</v>
      </c>
      <c r="I86">
        <v>11</v>
      </c>
      <c r="J86" s="11" t="str">
        <f t="shared" si="4"/>
        <v>4</v>
      </c>
      <c r="K86" s="11">
        <v>5</v>
      </c>
      <c r="L86" s="11"/>
      <c r="N86" s="4">
        <f t="shared" si="5"/>
        <v>1</v>
      </c>
    </row>
    <row r="87" spans="1:15" x14ac:dyDescent="0.3">
      <c r="A87" t="s">
        <v>180</v>
      </c>
      <c r="B87" t="s">
        <v>181</v>
      </c>
      <c r="C87">
        <v>90</v>
      </c>
      <c r="D87">
        <v>12.22</v>
      </c>
      <c r="E87">
        <v>62.5</v>
      </c>
      <c r="F87">
        <f t="shared" si="6"/>
        <v>37.36</v>
      </c>
      <c r="G87">
        <v>9</v>
      </c>
      <c r="H87">
        <v>16</v>
      </c>
      <c r="I87">
        <v>3</v>
      </c>
      <c r="J87" s="11" t="str">
        <f t="shared" si="4"/>
        <v>2</v>
      </c>
      <c r="K87" s="11">
        <v>5</v>
      </c>
      <c r="N87" s="4">
        <f t="shared" si="5"/>
        <v>3</v>
      </c>
    </row>
    <row r="88" spans="1:15" x14ac:dyDescent="0.3">
      <c r="A88" t="s">
        <v>182</v>
      </c>
      <c r="B88" t="s">
        <v>183</v>
      </c>
      <c r="C88">
        <v>149</v>
      </c>
      <c r="D88">
        <v>34.229999999999997</v>
      </c>
      <c r="E88">
        <v>52.78</v>
      </c>
      <c r="F88">
        <f t="shared" si="6"/>
        <v>43.504999999999995</v>
      </c>
      <c r="G88">
        <v>8</v>
      </c>
      <c r="H88">
        <v>4</v>
      </c>
      <c r="I88">
        <v>9</v>
      </c>
      <c r="J88" s="11" t="str">
        <f t="shared" si="4"/>
        <v>3</v>
      </c>
      <c r="K88" s="11">
        <v>5</v>
      </c>
      <c r="N88" s="4">
        <f t="shared" si="5"/>
        <v>2</v>
      </c>
    </row>
    <row r="89" spans="1:15" x14ac:dyDescent="0.3">
      <c r="A89" t="s">
        <v>184</v>
      </c>
      <c r="B89" t="s">
        <v>185</v>
      </c>
      <c r="C89">
        <v>145</v>
      </c>
      <c r="D89">
        <v>20</v>
      </c>
      <c r="E89">
        <v>41.67</v>
      </c>
      <c r="F89">
        <f t="shared" si="6"/>
        <v>30.835000000000001</v>
      </c>
      <c r="G89">
        <v>5</v>
      </c>
      <c r="H89">
        <v>8</v>
      </c>
      <c r="I89">
        <v>3</v>
      </c>
      <c r="J89" s="11" t="str">
        <f t="shared" si="4"/>
        <v>2</v>
      </c>
      <c r="K89" s="11">
        <v>5</v>
      </c>
      <c r="N89" s="4">
        <f t="shared" si="5"/>
        <v>3</v>
      </c>
    </row>
    <row r="90" spans="1:15" x14ac:dyDescent="0.3">
      <c r="A90" t="s">
        <v>186</v>
      </c>
      <c r="B90" t="s">
        <v>187</v>
      </c>
      <c r="C90">
        <v>210</v>
      </c>
      <c r="D90">
        <v>8.1</v>
      </c>
      <c r="E90">
        <v>84.62</v>
      </c>
      <c r="F90">
        <f t="shared" si="6"/>
        <v>46.36</v>
      </c>
      <c r="G90">
        <v>9</v>
      </c>
      <c r="H90">
        <v>5</v>
      </c>
      <c r="I90">
        <v>16</v>
      </c>
      <c r="J90" s="11" t="str">
        <f t="shared" si="4"/>
        <v>3</v>
      </c>
      <c r="K90" s="11">
        <v>5</v>
      </c>
      <c r="N90" s="4">
        <f t="shared" si="5"/>
        <v>2</v>
      </c>
    </row>
    <row r="91" spans="1:15" x14ac:dyDescent="0.3">
      <c r="J91" s="11"/>
      <c r="K91" s="11"/>
      <c r="N91" s="4"/>
    </row>
    <row r="92" spans="1:15" x14ac:dyDescent="0.3">
      <c r="J92" s="11"/>
      <c r="K92" s="11"/>
      <c r="N92" s="4"/>
    </row>
    <row r="93" spans="1:15" x14ac:dyDescent="0.3">
      <c r="J93" s="11"/>
      <c r="K93" s="11"/>
      <c r="N93" s="4"/>
    </row>
    <row r="94" spans="1:15" x14ac:dyDescent="0.3">
      <c r="J94" s="11"/>
      <c r="K94" s="11"/>
      <c r="N94" s="4"/>
    </row>
    <row r="95" spans="1:15" x14ac:dyDescent="0.3">
      <c r="J95" s="11"/>
      <c r="K95" s="11"/>
      <c r="N95" s="4"/>
    </row>
    <row r="96" spans="1:15" x14ac:dyDescent="0.3">
      <c r="J96" s="11"/>
      <c r="K96" s="11"/>
      <c r="N96" s="4"/>
    </row>
    <row r="97" spans="10:14" x14ac:dyDescent="0.3">
      <c r="J97" s="11"/>
      <c r="K97" s="11"/>
      <c r="N97" s="4"/>
    </row>
    <row r="98" spans="10:14" x14ac:dyDescent="0.3">
      <c r="J98" s="11"/>
      <c r="K98" s="11"/>
      <c r="N98" s="4"/>
    </row>
    <row r="99" spans="10:14" x14ac:dyDescent="0.3">
      <c r="J99" s="11"/>
      <c r="K99" s="11"/>
      <c r="N99" s="4"/>
    </row>
    <row r="100" spans="10:14" x14ac:dyDescent="0.3">
      <c r="J100" s="11"/>
      <c r="K100" s="11"/>
      <c r="N100" s="4"/>
    </row>
    <row r="101" spans="10:14" x14ac:dyDescent="0.3">
      <c r="J101" s="11"/>
      <c r="K101" s="11"/>
      <c r="N101" s="4"/>
    </row>
    <row r="102" spans="10:14" x14ac:dyDescent="0.3">
      <c r="J102" s="11"/>
      <c r="K102" s="11"/>
      <c r="N102" s="4"/>
    </row>
    <row r="103" spans="10:14" x14ac:dyDescent="0.3">
      <c r="J103" s="11"/>
      <c r="K103" s="11"/>
      <c r="N103" s="4"/>
    </row>
    <row r="104" spans="10:14" x14ac:dyDescent="0.3">
      <c r="J104" s="11"/>
      <c r="K104" s="11"/>
      <c r="N104" s="4"/>
    </row>
    <row r="105" spans="10:14" x14ac:dyDescent="0.3">
      <c r="J105" s="11"/>
      <c r="K105" s="11"/>
      <c r="N105" s="4"/>
    </row>
    <row r="106" spans="10:14" x14ac:dyDescent="0.3">
      <c r="J106" s="11"/>
      <c r="K106" s="11"/>
      <c r="N106" s="4"/>
    </row>
    <row r="107" spans="10:14" x14ac:dyDescent="0.3">
      <c r="J107" s="11"/>
      <c r="K107" s="11"/>
      <c r="N107" s="4"/>
    </row>
    <row r="108" spans="10:14" x14ac:dyDescent="0.3">
      <c r="J108" s="11"/>
      <c r="K108" s="11"/>
      <c r="N108" s="4"/>
    </row>
    <row r="109" spans="10:14" x14ac:dyDescent="0.3">
      <c r="J109" s="11"/>
      <c r="K109" s="11"/>
      <c r="N109" s="4"/>
    </row>
    <row r="110" spans="10:14" x14ac:dyDescent="0.3">
      <c r="J110" s="11"/>
      <c r="K110" s="11"/>
      <c r="N110" s="4"/>
    </row>
    <row r="111" spans="10:14" x14ac:dyDescent="0.3">
      <c r="J111" s="11"/>
      <c r="K111" s="11"/>
      <c r="N111" s="4"/>
    </row>
    <row r="112" spans="10:14" x14ac:dyDescent="0.3">
      <c r="J112" s="11"/>
      <c r="K112" s="11"/>
      <c r="N112" s="4"/>
    </row>
    <row r="113" spans="10:14" x14ac:dyDescent="0.3">
      <c r="J113" s="11"/>
      <c r="K113" s="11"/>
      <c r="N113" s="4"/>
    </row>
    <row r="114" spans="10:14" x14ac:dyDescent="0.3">
      <c r="J114" s="11"/>
      <c r="K114" s="11"/>
      <c r="N114" s="4"/>
    </row>
    <row r="115" spans="10:14" x14ac:dyDescent="0.3">
      <c r="J115" s="11"/>
      <c r="K115" s="11"/>
      <c r="N115" s="4"/>
    </row>
    <row r="116" spans="10:14" x14ac:dyDescent="0.3">
      <c r="J116" s="11"/>
      <c r="K116" s="11"/>
      <c r="N116" s="4"/>
    </row>
    <row r="117" spans="10:14" x14ac:dyDescent="0.3">
      <c r="J117" s="11"/>
      <c r="K117" s="11"/>
      <c r="N117" s="4"/>
    </row>
    <row r="118" spans="10:14" x14ac:dyDescent="0.3">
      <c r="J118" s="11"/>
      <c r="K118" s="11"/>
      <c r="N118" s="4"/>
    </row>
    <row r="119" spans="10:14" x14ac:dyDescent="0.3">
      <c r="J119" s="11"/>
      <c r="K119" s="11"/>
      <c r="N119" s="4"/>
    </row>
    <row r="120" spans="10:14" x14ac:dyDescent="0.3">
      <c r="J120" s="11"/>
      <c r="K120" s="11"/>
      <c r="N120" s="4"/>
    </row>
    <row r="121" spans="10:14" x14ac:dyDescent="0.3">
      <c r="J121" s="11"/>
      <c r="K121" s="11"/>
      <c r="N121" s="4"/>
    </row>
    <row r="122" spans="10:14" x14ac:dyDescent="0.3">
      <c r="J122" s="11"/>
      <c r="K122" s="11"/>
      <c r="N122" s="4"/>
    </row>
    <row r="123" spans="10:14" x14ac:dyDescent="0.3">
      <c r="J123" s="11"/>
      <c r="K123" s="11"/>
      <c r="N123" s="4"/>
    </row>
    <row r="124" spans="10:14" x14ac:dyDescent="0.3">
      <c r="J124" s="11"/>
      <c r="K124" s="11"/>
      <c r="N124" s="4"/>
    </row>
    <row r="125" spans="10:14" x14ac:dyDescent="0.3">
      <c r="J125" s="11"/>
      <c r="K125" s="11"/>
      <c r="N125" s="4"/>
    </row>
    <row r="126" spans="10:14" x14ac:dyDescent="0.3">
      <c r="J126" s="11"/>
      <c r="K126" s="11"/>
      <c r="N126" s="4"/>
    </row>
    <row r="127" spans="10:14" x14ac:dyDescent="0.3">
      <c r="J127" s="11"/>
      <c r="K127" s="11"/>
      <c r="N127" s="4"/>
    </row>
    <row r="128" spans="10:14" x14ac:dyDescent="0.3">
      <c r="J128" s="11"/>
      <c r="K128" s="11"/>
      <c r="N128" s="4"/>
    </row>
    <row r="129" spans="10:14" x14ac:dyDescent="0.3">
      <c r="J129" s="11"/>
      <c r="K129" s="11"/>
      <c r="N129" s="4"/>
    </row>
    <row r="130" spans="10:14" x14ac:dyDescent="0.3">
      <c r="J130" s="11"/>
      <c r="K130" s="11"/>
      <c r="N130" s="4"/>
    </row>
    <row r="131" spans="10:14" x14ac:dyDescent="0.3">
      <c r="J131" s="11"/>
      <c r="K131" s="11"/>
      <c r="N131" s="4"/>
    </row>
    <row r="132" spans="10:14" x14ac:dyDescent="0.3">
      <c r="J132" s="11"/>
      <c r="K132" s="11"/>
      <c r="N132" s="4"/>
    </row>
    <row r="133" spans="10:14" x14ac:dyDescent="0.3">
      <c r="J133" s="11"/>
      <c r="K133" s="11"/>
      <c r="N133" s="4"/>
    </row>
    <row r="134" spans="10:14" x14ac:dyDescent="0.3">
      <c r="J134" s="11"/>
      <c r="K134" s="11"/>
      <c r="N134" s="4"/>
    </row>
    <row r="135" spans="10:14" x14ac:dyDescent="0.3">
      <c r="J135" s="11"/>
      <c r="K135" s="11"/>
      <c r="N135" s="4"/>
    </row>
    <row r="136" spans="10:14" x14ac:dyDescent="0.3">
      <c r="J136" s="11"/>
      <c r="K136" s="11"/>
      <c r="N136" s="4"/>
    </row>
    <row r="137" spans="10:14" x14ac:dyDescent="0.3">
      <c r="J137" s="11"/>
      <c r="K137" s="11"/>
      <c r="N137" s="4"/>
    </row>
    <row r="138" spans="10:14" x14ac:dyDescent="0.3">
      <c r="J138" s="11"/>
      <c r="K138" s="11"/>
      <c r="N138" s="4"/>
    </row>
    <row r="139" spans="10:14" x14ac:dyDescent="0.3">
      <c r="J139" s="11"/>
      <c r="K139" s="11"/>
      <c r="N139" s="4"/>
    </row>
    <row r="140" spans="10:14" x14ac:dyDescent="0.3">
      <c r="J140" s="11"/>
      <c r="K140" s="11"/>
      <c r="N140" s="4"/>
    </row>
    <row r="141" spans="10:14" x14ac:dyDescent="0.3">
      <c r="J141" s="11"/>
      <c r="K141" s="11"/>
      <c r="N141" s="4"/>
    </row>
    <row r="142" spans="10:14" x14ac:dyDescent="0.3">
      <c r="J142" s="11"/>
      <c r="K142" s="11"/>
      <c r="N142" s="4"/>
    </row>
    <row r="143" spans="10:14" x14ac:dyDescent="0.3">
      <c r="J143" s="11"/>
      <c r="K143" s="11"/>
      <c r="N143" s="4"/>
    </row>
    <row r="144" spans="10:14" x14ac:dyDescent="0.3">
      <c r="J144" s="11"/>
      <c r="K144" s="11"/>
      <c r="N144" s="4"/>
    </row>
    <row r="145" spans="10:14" x14ac:dyDescent="0.3">
      <c r="J145" s="11"/>
      <c r="K145" s="11"/>
      <c r="N145" s="4"/>
    </row>
    <row r="146" spans="10:14" x14ac:dyDescent="0.3">
      <c r="J146" s="11"/>
      <c r="K146" s="11"/>
      <c r="L146" s="11"/>
      <c r="N146" s="4"/>
    </row>
    <row r="147" spans="10:14" x14ac:dyDescent="0.3">
      <c r="J147" s="11"/>
      <c r="K147" s="11"/>
      <c r="L147" s="11"/>
      <c r="N147" s="4"/>
    </row>
    <row r="148" spans="10:14" x14ac:dyDescent="0.3">
      <c r="J148" s="11"/>
      <c r="K148" s="11"/>
      <c r="L148" s="11"/>
      <c r="N148" s="4"/>
    </row>
    <row r="149" spans="10:14" x14ac:dyDescent="0.3">
      <c r="J149" s="11"/>
      <c r="K149" s="11"/>
      <c r="L149" s="11"/>
      <c r="N149" s="4"/>
    </row>
    <row r="150" spans="10:14" x14ac:dyDescent="0.3">
      <c r="J150" s="11"/>
      <c r="K150" s="11"/>
      <c r="N150" s="4"/>
    </row>
    <row r="151" spans="10:14" x14ac:dyDescent="0.3">
      <c r="J151" s="11"/>
      <c r="K151" s="11"/>
      <c r="N151" s="4"/>
    </row>
    <row r="152" spans="10:14" x14ac:dyDescent="0.3">
      <c r="J152" s="11"/>
      <c r="K152" s="11"/>
      <c r="N152" s="4"/>
    </row>
    <row r="153" spans="10:14" x14ac:dyDescent="0.3">
      <c r="J153" s="11"/>
      <c r="K153" s="11"/>
      <c r="N153" s="4"/>
    </row>
    <row r="154" spans="10:14" x14ac:dyDescent="0.3">
      <c r="J154" s="11"/>
      <c r="K154" s="11"/>
      <c r="N154" s="4"/>
    </row>
    <row r="155" spans="10:14" x14ac:dyDescent="0.3">
      <c r="J155" s="11"/>
      <c r="K155" s="11"/>
      <c r="N155" s="4"/>
    </row>
    <row r="156" spans="10:14" x14ac:dyDescent="0.3">
      <c r="J156" s="11"/>
      <c r="K156" s="11"/>
      <c r="N156" s="4"/>
    </row>
    <row r="157" spans="10:14" x14ac:dyDescent="0.3">
      <c r="J157" s="11"/>
      <c r="K157" s="11"/>
      <c r="N157" s="4"/>
    </row>
    <row r="158" spans="10:14" x14ac:dyDescent="0.3">
      <c r="J158" s="11"/>
      <c r="K158" s="11"/>
      <c r="N158" s="4"/>
    </row>
    <row r="159" spans="10:14" x14ac:dyDescent="0.3">
      <c r="J159" s="11"/>
      <c r="K159" s="11"/>
      <c r="N159" s="4"/>
    </row>
    <row r="160" spans="10:14" x14ac:dyDescent="0.3">
      <c r="J160" s="11"/>
      <c r="K160" s="11"/>
      <c r="N160" s="4"/>
    </row>
    <row r="161" spans="10:14" x14ac:dyDescent="0.3">
      <c r="J161" s="11"/>
      <c r="K161" s="11"/>
      <c r="N161" s="4"/>
    </row>
    <row r="162" spans="10:14" x14ac:dyDescent="0.3">
      <c r="J162" s="11"/>
      <c r="K162" s="11"/>
      <c r="L162" s="11"/>
      <c r="N162" s="4"/>
    </row>
    <row r="163" spans="10:14" x14ac:dyDescent="0.3">
      <c r="J163" s="11"/>
      <c r="K163" s="11"/>
      <c r="L163" s="11"/>
      <c r="N163" s="4"/>
    </row>
    <row r="164" spans="10:14" x14ac:dyDescent="0.3">
      <c r="J164" s="11"/>
      <c r="K164" s="11"/>
      <c r="L164" s="11"/>
      <c r="N164" s="4"/>
    </row>
    <row r="165" spans="10:14" x14ac:dyDescent="0.3">
      <c r="J165" s="11"/>
      <c r="K165" s="11"/>
      <c r="N165" s="4"/>
    </row>
    <row r="166" spans="10:14" x14ac:dyDescent="0.3">
      <c r="J166" s="11"/>
      <c r="K166" s="11"/>
      <c r="N166" s="4"/>
    </row>
    <row r="167" spans="10:14" x14ac:dyDescent="0.3">
      <c r="J167" s="11"/>
      <c r="K167" s="11"/>
      <c r="N167" s="4"/>
    </row>
    <row r="168" spans="10:14" x14ac:dyDescent="0.3">
      <c r="J168" s="11"/>
      <c r="K168" s="11"/>
      <c r="N168" s="4"/>
    </row>
    <row r="169" spans="10:14" x14ac:dyDescent="0.3">
      <c r="J169" s="11"/>
      <c r="K169" s="11"/>
      <c r="N169" s="4"/>
    </row>
    <row r="170" spans="10:14" x14ac:dyDescent="0.3">
      <c r="J170" s="11"/>
      <c r="K170" s="11"/>
      <c r="N170" s="4"/>
    </row>
    <row r="171" spans="10:14" x14ac:dyDescent="0.3">
      <c r="J171" s="11"/>
      <c r="K171" s="11"/>
      <c r="N171" s="4"/>
    </row>
    <row r="172" spans="10:14" x14ac:dyDescent="0.3">
      <c r="J172" s="11"/>
      <c r="K172" s="11"/>
      <c r="N172" s="4"/>
    </row>
    <row r="173" spans="10:14" x14ac:dyDescent="0.3">
      <c r="J173" s="11"/>
      <c r="K173" s="11"/>
      <c r="N173" s="4"/>
    </row>
    <row r="174" spans="10:14" x14ac:dyDescent="0.3">
      <c r="J174" s="11"/>
      <c r="K174" s="11"/>
      <c r="N174" s="4"/>
    </row>
    <row r="175" spans="10:14" x14ac:dyDescent="0.3">
      <c r="J175" s="11"/>
      <c r="K175" s="11"/>
      <c r="N175" s="4"/>
    </row>
    <row r="176" spans="10:14" x14ac:dyDescent="0.3">
      <c r="J176" s="11"/>
      <c r="K176" s="11"/>
      <c r="N176" s="4"/>
    </row>
    <row r="177" spans="10:14" x14ac:dyDescent="0.3">
      <c r="J177" s="11"/>
      <c r="K177" s="11"/>
      <c r="N177" s="4"/>
    </row>
    <row r="178" spans="10:14" x14ac:dyDescent="0.3">
      <c r="J178" s="11"/>
      <c r="K178" s="11"/>
      <c r="N178" s="4"/>
    </row>
    <row r="179" spans="10:14" x14ac:dyDescent="0.3">
      <c r="J179" s="11"/>
      <c r="K179" s="11"/>
      <c r="N179" s="4"/>
    </row>
    <row r="180" spans="10:14" x14ac:dyDescent="0.3">
      <c r="J180" s="11"/>
      <c r="K180" s="11"/>
      <c r="N180" s="4"/>
    </row>
    <row r="181" spans="10:14" x14ac:dyDescent="0.3">
      <c r="J181" s="11"/>
      <c r="K181" s="11"/>
      <c r="N181" s="4"/>
    </row>
    <row r="182" spans="10:14" x14ac:dyDescent="0.3">
      <c r="J182" s="11"/>
      <c r="K182" s="11"/>
      <c r="N182" s="4"/>
    </row>
    <row r="183" spans="10:14" x14ac:dyDescent="0.3">
      <c r="J183" s="11"/>
      <c r="K183" s="11"/>
      <c r="N183" s="4"/>
    </row>
    <row r="184" spans="10:14" x14ac:dyDescent="0.3">
      <c r="J184" s="11"/>
      <c r="K184" s="11"/>
      <c r="N184" s="4"/>
    </row>
    <row r="185" spans="10:14" x14ac:dyDescent="0.3">
      <c r="J185" s="11"/>
      <c r="K185" s="11"/>
      <c r="N185" s="4"/>
    </row>
    <row r="186" spans="10:14" x14ac:dyDescent="0.3">
      <c r="J186" s="11"/>
      <c r="K186" s="11"/>
      <c r="N186" s="4"/>
    </row>
    <row r="187" spans="10:14" x14ac:dyDescent="0.3">
      <c r="J187" s="11"/>
      <c r="K187" s="11"/>
      <c r="N187" s="4"/>
    </row>
    <row r="188" spans="10:14" x14ac:dyDescent="0.3">
      <c r="J188" s="11"/>
      <c r="K188" s="11"/>
      <c r="N188" s="4"/>
    </row>
    <row r="189" spans="10:14" x14ac:dyDescent="0.3">
      <c r="J189" s="11"/>
      <c r="K189" s="11"/>
      <c r="N189" s="4"/>
    </row>
    <row r="190" spans="10:14" x14ac:dyDescent="0.3">
      <c r="J190" s="11"/>
      <c r="K190" s="11"/>
      <c r="N190" s="4"/>
    </row>
    <row r="191" spans="10:14" x14ac:dyDescent="0.3">
      <c r="J191" s="11"/>
      <c r="K191" s="11"/>
      <c r="N191" s="4"/>
    </row>
    <row r="192" spans="10:14" x14ac:dyDescent="0.3">
      <c r="J192" s="11"/>
      <c r="K192" s="11"/>
      <c r="N192" s="4"/>
    </row>
    <row r="193" spans="10:14" x14ac:dyDescent="0.3">
      <c r="J193" s="11"/>
      <c r="K193" s="11"/>
      <c r="N193" s="4"/>
    </row>
    <row r="194" spans="10:14" x14ac:dyDescent="0.3">
      <c r="J194" s="11"/>
      <c r="K194" s="11"/>
      <c r="L194" s="11"/>
      <c r="N194" s="4"/>
    </row>
    <row r="195" spans="10:14" x14ac:dyDescent="0.3">
      <c r="J195" s="11"/>
      <c r="K195" s="11"/>
      <c r="N195" s="4"/>
    </row>
    <row r="196" spans="10:14" x14ac:dyDescent="0.3">
      <c r="J196" s="11"/>
      <c r="K196" s="11"/>
      <c r="N196" s="4"/>
    </row>
    <row r="197" spans="10:14" x14ac:dyDescent="0.3">
      <c r="J197" s="11"/>
      <c r="K197" s="11"/>
      <c r="N197" s="4"/>
    </row>
    <row r="198" spans="10:14" x14ac:dyDescent="0.3">
      <c r="J198" s="11"/>
      <c r="K198" s="11"/>
      <c r="N198" s="4"/>
    </row>
    <row r="199" spans="10:14" x14ac:dyDescent="0.3">
      <c r="J199" s="11"/>
      <c r="K199" s="11"/>
      <c r="N199" s="4"/>
    </row>
    <row r="200" spans="10:14" x14ac:dyDescent="0.3">
      <c r="J200" s="11"/>
      <c r="K200" s="11"/>
      <c r="N200" s="4"/>
    </row>
    <row r="201" spans="10:14" x14ac:dyDescent="0.3">
      <c r="J201" s="11"/>
      <c r="K201" s="11"/>
      <c r="N201" s="4"/>
    </row>
  </sheetData>
  <autoFilter ref="A1:N1" xr:uid="{15D91737-F968-4E4F-A01E-337200C1E7C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2015-2019</vt:lpstr>
      <vt:lpstr>2020-2024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Steingard</dc:creator>
  <cp:lastModifiedBy>Dylan Flynn</cp:lastModifiedBy>
  <dcterms:created xsi:type="dcterms:W3CDTF">2024-10-04T15:14:33Z</dcterms:created>
  <dcterms:modified xsi:type="dcterms:W3CDTF">2024-12-01T20:03:56Z</dcterms:modified>
</cp:coreProperties>
</file>