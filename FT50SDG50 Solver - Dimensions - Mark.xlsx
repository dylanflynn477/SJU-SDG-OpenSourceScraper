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ylan\OneDrive\Desktop\OAX\sju-oax\"/>
    </mc:Choice>
  </mc:AlternateContent>
  <xr:revisionPtr revIDLastSave="0" documentId="13_ncr:1_{A6D8512B-8C9E-42F2-AC2B-09C85E0E4219}" xr6:coauthVersionLast="47" xr6:coauthVersionMax="47" xr10:uidLastSave="{00000000-0000-0000-0000-000000000000}"/>
  <bookViews>
    <workbookView xWindow="-108" yWindow="-108" windowWidth="23256" windowHeight="12456" xr2:uid="{BE807192-C693-9F4A-968B-E7FF5FD48132}"/>
  </bookViews>
  <sheets>
    <sheet name="2016-2019" sheetId="3" r:id="rId1"/>
    <sheet name="2020-2023" sheetId="2" r:id="rId2"/>
  </sheets>
  <definedNames>
    <definedName name="_xlnm._FilterDatabase" localSheetId="0" hidden="1">'2016-2019'!$A$1:$N$1</definedName>
    <definedName name="_xlnm._FilterDatabase" localSheetId="1" hidden="1">'2020-2023'!$A$1:$N$1</definedName>
    <definedName name="solver_adj" localSheetId="0" hidden="1">'2016-2019'!$Q$1:$R$1,'2016-2019'!$U$1:$Z$1</definedName>
    <definedName name="solver_adj" localSheetId="1" hidden="1">'2020-2023'!$Q$1:$R$1,'2020-2023'!$U$1:$Z$1</definedName>
    <definedName name="solver_cvg" localSheetId="0" hidden="1">0.0001</definedName>
    <definedName name="solver_cvg" localSheetId="1" hidden="1">0.0001</definedName>
    <definedName name="solver_drv" localSheetId="0" hidden="1">2</definedName>
    <definedName name="solver_drv" localSheetId="1" hidden="1">2</definedName>
    <definedName name="solver_eng" localSheetId="0" hidden="1">3</definedName>
    <definedName name="solver_eng" localSheetId="1" hidden="1">3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'2016-2019'!#REF!</definedName>
    <definedName name="solver_lhs1" localSheetId="1" hidden="1">'2020-2023'!#REF!</definedName>
    <definedName name="solver_lhs10" localSheetId="0" hidden="1">'2016-2019'!$Z$1</definedName>
    <definedName name="solver_lhs10" localSheetId="1" hidden="1">'2020-2023'!$Z$1</definedName>
    <definedName name="solver_lhs11" localSheetId="0" hidden="1">'2016-2019'!$Q$1</definedName>
    <definedName name="solver_lhs11" localSheetId="1" hidden="1">'2020-2023'!$Q$1</definedName>
    <definedName name="solver_lhs2" localSheetId="0" hidden="1">'2016-2019'!$S$1</definedName>
    <definedName name="solver_lhs2" localSheetId="1" hidden="1">'2020-2023'!$S$1</definedName>
    <definedName name="solver_lhs3" localSheetId="0" hidden="1">'2016-2019'!$R$1</definedName>
    <definedName name="solver_lhs3" localSheetId="1" hidden="1">'2020-2023'!$R$1</definedName>
    <definedName name="solver_lhs4" localSheetId="0" hidden="1">'2016-2019'!$U$1</definedName>
    <definedName name="solver_lhs4" localSheetId="1" hidden="1">'2020-2023'!$U$1</definedName>
    <definedName name="solver_lhs5" localSheetId="0" hidden="1">'2016-2019'!$V$1</definedName>
    <definedName name="solver_lhs5" localSheetId="1" hidden="1">'2020-2023'!$V$1</definedName>
    <definedName name="solver_lhs6" localSheetId="0" hidden="1">'2016-2019'!$W$1</definedName>
    <definedName name="solver_lhs6" localSheetId="1" hidden="1">'2020-2023'!$W$1</definedName>
    <definedName name="solver_lhs7" localSheetId="0" hidden="1">'2016-2019'!$X$1</definedName>
    <definedName name="solver_lhs7" localSheetId="1" hidden="1">'2020-2023'!$X$1</definedName>
    <definedName name="solver_lhs8" localSheetId="0" hidden="1">'2016-2019'!$Y$1</definedName>
    <definedName name="solver_lhs8" localSheetId="1" hidden="1">'2020-2023'!$Y$1</definedName>
    <definedName name="solver_lhs9" localSheetId="0" hidden="1">'2016-2019'!$Z$1</definedName>
    <definedName name="solver_lhs9" localSheetId="1" hidden="1">'2020-2023'!$Z$1</definedName>
    <definedName name="solver_lin" localSheetId="0" hidden="1">2</definedName>
    <definedName name="solver_lin" localSheetId="1" hidden="1">2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2</definedName>
    <definedName name="solver_neg" localSheetId="1" hidden="1">2</definedName>
    <definedName name="solver_nod" localSheetId="0" hidden="1">2147483647</definedName>
    <definedName name="solver_nod" localSheetId="1" hidden="1">2147483647</definedName>
    <definedName name="solver_num" localSheetId="0" hidden="1">11</definedName>
    <definedName name="solver_num" localSheetId="1" hidden="1">11</definedName>
    <definedName name="solver_nwt" localSheetId="0" hidden="1">1</definedName>
    <definedName name="solver_nwt" localSheetId="1" hidden="1">1</definedName>
    <definedName name="solver_opt" localSheetId="0" hidden="1">'2016-2019'!$AB$1</definedName>
    <definedName name="solver_opt" localSheetId="1" hidden="1">'2020-2023'!$AB$1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2</definedName>
    <definedName name="solver_rel1" localSheetId="0" hidden="1">3</definedName>
    <definedName name="solver_rel1" localSheetId="1" hidden="1">3</definedName>
    <definedName name="solver_rel10" localSheetId="0" hidden="1">3</definedName>
    <definedName name="solver_rel10" localSheetId="1" hidden="1">3</definedName>
    <definedName name="solver_rel11" localSheetId="0" hidden="1">3</definedName>
    <definedName name="solver_rel11" localSheetId="1" hidden="1">3</definedName>
    <definedName name="solver_rel2" localSheetId="0" hidden="1">2</definedName>
    <definedName name="solver_rel2" localSheetId="1" hidden="1">2</definedName>
    <definedName name="solver_rel3" localSheetId="0" hidden="1">3</definedName>
    <definedName name="solver_rel3" localSheetId="1" hidden="1">3</definedName>
    <definedName name="solver_rel4" localSheetId="0" hidden="1">1</definedName>
    <definedName name="solver_rel4" localSheetId="1" hidden="1">1</definedName>
    <definedName name="solver_rel5" localSheetId="0" hidden="1">1</definedName>
    <definedName name="solver_rel5" localSheetId="1" hidden="1">1</definedName>
    <definedName name="solver_rel6" localSheetId="0" hidden="1">1</definedName>
    <definedName name="solver_rel6" localSheetId="1" hidden="1">1</definedName>
    <definedName name="solver_rel7" localSheetId="0" hidden="1">1</definedName>
    <definedName name="solver_rel7" localSheetId="1" hidden="1">1</definedName>
    <definedName name="solver_rel8" localSheetId="0" hidden="1">1</definedName>
    <definedName name="solver_rel8" localSheetId="1" hidden="1">1</definedName>
    <definedName name="solver_rel9" localSheetId="0" hidden="1">1</definedName>
    <definedName name="solver_rel9" localSheetId="1" hidden="1">1</definedName>
    <definedName name="solver_rhs1" localSheetId="0" hidden="1">0.1</definedName>
    <definedName name="solver_rhs1" localSheetId="1" hidden="1">0.1</definedName>
    <definedName name="solver_rhs10" localSheetId="0" hidden="1">0</definedName>
    <definedName name="solver_rhs10" localSheetId="1" hidden="1">0</definedName>
    <definedName name="solver_rhs11" localSheetId="0" hidden="1">0.1</definedName>
    <definedName name="solver_rhs11" localSheetId="1" hidden="1">0.1</definedName>
    <definedName name="solver_rhs2" localSheetId="0" hidden="1">1</definedName>
    <definedName name="solver_rhs2" localSheetId="1" hidden="1">1</definedName>
    <definedName name="solver_rhs3" localSheetId="0" hidden="1">0.1</definedName>
    <definedName name="solver_rhs3" localSheetId="1" hidden="1">0.1</definedName>
    <definedName name="solver_rhs4" localSheetId="0" hidden="1">100</definedName>
    <definedName name="solver_rhs4" localSheetId="1" hidden="1">100</definedName>
    <definedName name="solver_rhs5" localSheetId="0" hidden="1">'2016-2019'!$U$1</definedName>
    <definedName name="solver_rhs5" localSheetId="1" hidden="1">'2020-2023'!$U$1</definedName>
    <definedName name="solver_rhs6" localSheetId="0" hidden="1">'2016-2019'!$V$1</definedName>
    <definedName name="solver_rhs6" localSheetId="1" hidden="1">'2020-2023'!$V$1</definedName>
    <definedName name="solver_rhs7" localSheetId="0" hidden="1">'2016-2019'!$W$1</definedName>
    <definedName name="solver_rhs7" localSheetId="1" hidden="1">'2020-2023'!$W$1</definedName>
    <definedName name="solver_rhs8" localSheetId="0" hidden="1">'2016-2019'!$X$1</definedName>
    <definedName name="solver_rhs8" localSheetId="1" hidden="1">'2020-2023'!$X$1</definedName>
    <definedName name="solver_rhs9" localSheetId="0" hidden="1">'2016-2019'!$Y$1</definedName>
    <definedName name="solver_rhs9" localSheetId="1" hidden="1">'2020-2023'!$Y$1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8" i="3" l="1"/>
  <c r="AB1" i="3" s="1"/>
  <c r="N49" i="3"/>
  <c r="N48" i="2"/>
  <c r="AB1" i="2" s="1"/>
  <c r="N49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2" i="3"/>
  <c r="J48" i="2"/>
  <c r="F48" i="2"/>
  <c r="F49" i="2"/>
  <c r="J49" i="2" s="1"/>
  <c r="J48" i="3"/>
  <c r="J49" i="3"/>
  <c r="F48" i="3"/>
  <c r="F49" i="3"/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2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2" i="2"/>
  <c r="Q1" i="3"/>
  <c r="Q1" i="2"/>
  <c r="R1" i="3" l="1"/>
  <c r="J47" i="2"/>
  <c r="J35" i="2"/>
  <c r="J23" i="2"/>
  <c r="R1" i="2"/>
  <c r="J13" i="2" s="1"/>
  <c r="J12" i="2" l="1"/>
  <c r="J24" i="2"/>
  <c r="J36" i="2"/>
  <c r="S1" i="3"/>
  <c r="J14" i="3"/>
  <c r="N14" i="3" s="1"/>
  <c r="J28" i="3"/>
  <c r="N28" i="3" s="1"/>
  <c r="J42" i="3"/>
  <c r="N42" i="3" s="1"/>
  <c r="J12" i="3"/>
  <c r="N12" i="3" s="1"/>
  <c r="J24" i="3"/>
  <c r="N24" i="3" s="1"/>
  <c r="J11" i="3"/>
  <c r="N11" i="3" s="1"/>
  <c r="J36" i="3"/>
  <c r="N36" i="3" s="1"/>
  <c r="J15" i="3"/>
  <c r="N15" i="3" s="1"/>
  <c r="J43" i="3"/>
  <c r="N43" i="3" s="1"/>
  <c r="J35" i="3"/>
  <c r="N35" i="3" s="1"/>
  <c r="J13" i="3"/>
  <c r="N13" i="3" s="1"/>
  <c r="J16" i="3"/>
  <c r="N16" i="3" s="1"/>
  <c r="J31" i="3"/>
  <c r="N31" i="3" s="1"/>
  <c r="J3" i="3"/>
  <c r="N3" i="3" s="1"/>
  <c r="J4" i="3"/>
  <c r="N4" i="3" s="1"/>
  <c r="J19" i="3"/>
  <c r="N19" i="3" s="1"/>
  <c r="J5" i="3"/>
  <c r="N5" i="3" s="1"/>
  <c r="J34" i="3"/>
  <c r="N34" i="3" s="1"/>
  <c r="J21" i="3"/>
  <c r="N21" i="3" s="1"/>
  <c r="J22" i="3"/>
  <c r="N22" i="3" s="1"/>
  <c r="J25" i="3"/>
  <c r="N25" i="3" s="1"/>
  <c r="J9" i="3"/>
  <c r="N9" i="3" s="1"/>
  <c r="J41" i="3"/>
  <c r="N41" i="3" s="1"/>
  <c r="J30" i="3"/>
  <c r="N30" i="3" s="1"/>
  <c r="J2" i="3"/>
  <c r="N2" i="3" s="1"/>
  <c r="J17" i="3"/>
  <c r="N17" i="3" s="1"/>
  <c r="J45" i="3"/>
  <c r="N45" i="3" s="1"/>
  <c r="J18" i="3"/>
  <c r="N18" i="3" s="1"/>
  <c r="J32" i="3"/>
  <c r="N32" i="3" s="1"/>
  <c r="J46" i="3"/>
  <c r="N46" i="3" s="1"/>
  <c r="J33" i="3"/>
  <c r="N33" i="3" s="1"/>
  <c r="J20" i="3"/>
  <c r="N20" i="3" s="1"/>
  <c r="J6" i="3"/>
  <c r="N6" i="3" s="1"/>
  <c r="J37" i="3"/>
  <c r="N37" i="3" s="1"/>
  <c r="J7" i="3"/>
  <c r="N7" i="3" s="1"/>
  <c r="J38" i="3"/>
  <c r="N38" i="3" s="1"/>
  <c r="J8" i="3"/>
  <c r="N8" i="3" s="1"/>
  <c r="J39" i="3"/>
  <c r="N39" i="3" s="1"/>
  <c r="J26" i="3"/>
  <c r="N26" i="3" s="1"/>
  <c r="J27" i="3"/>
  <c r="N27" i="3" s="1"/>
  <c r="J44" i="3"/>
  <c r="N44" i="3" s="1"/>
  <c r="J40" i="3"/>
  <c r="N40" i="3" s="1"/>
  <c r="J10" i="3"/>
  <c r="N10" i="3" s="1"/>
  <c r="J29" i="3"/>
  <c r="N29" i="3" s="1"/>
  <c r="J23" i="3"/>
  <c r="N23" i="3" s="1"/>
  <c r="J47" i="3"/>
  <c r="N47" i="3" s="1"/>
  <c r="J25" i="2"/>
  <c r="N25" i="2" s="1"/>
  <c r="J37" i="2"/>
  <c r="N37" i="2" s="1"/>
  <c r="J26" i="2"/>
  <c r="N26" i="2" s="1"/>
  <c r="J15" i="2"/>
  <c r="N15" i="2" s="1"/>
  <c r="J27" i="2"/>
  <c r="N27" i="2" s="1"/>
  <c r="J16" i="2"/>
  <c r="N16" i="2" s="1"/>
  <c r="J40" i="2"/>
  <c r="N40" i="2" s="1"/>
  <c r="J30" i="2"/>
  <c r="N30" i="2" s="1"/>
  <c r="J7" i="2"/>
  <c r="N7" i="2" s="1"/>
  <c r="J8" i="2"/>
  <c r="N8" i="2" s="1"/>
  <c r="J21" i="2"/>
  <c r="N21" i="2" s="1"/>
  <c r="J34" i="2"/>
  <c r="N34" i="2" s="1"/>
  <c r="J18" i="2"/>
  <c r="N18" i="2" s="1"/>
  <c r="J31" i="2"/>
  <c r="N31" i="2" s="1"/>
  <c r="J14" i="2"/>
  <c r="N14" i="2" s="1"/>
  <c r="J38" i="2"/>
  <c r="N38" i="2" s="1"/>
  <c r="J3" i="2"/>
  <c r="N3" i="2" s="1"/>
  <c r="J39" i="2"/>
  <c r="N39" i="2" s="1"/>
  <c r="J4" i="2"/>
  <c r="N4" i="2" s="1"/>
  <c r="J28" i="2"/>
  <c r="N28" i="2" s="1"/>
  <c r="J6" i="2"/>
  <c r="N6" i="2" s="1"/>
  <c r="J2" i="2"/>
  <c r="N2" i="2" s="1"/>
  <c r="J19" i="2"/>
  <c r="N19" i="2" s="1"/>
  <c r="J32" i="2"/>
  <c r="N32" i="2" s="1"/>
  <c r="J33" i="2"/>
  <c r="N33" i="2" s="1"/>
  <c r="J22" i="2"/>
  <c r="N22" i="2" s="1"/>
  <c r="J5" i="2"/>
  <c r="N5" i="2" s="1"/>
  <c r="J17" i="2"/>
  <c r="N17" i="2" s="1"/>
  <c r="J29" i="2"/>
  <c r="N29" i="2" s="1"/>
  <c r="J41" i="2"/>
  <c r="N41" i="2" s="1"/>
  <c r="J42" i="2"/>
  <c r="N42" i="2" s="1"/>
  <c r="J43" i="2"/>
  <c r="N43" i="2" s="1"/>
  <c r="J20" i="2"/>
  <c r="N20" i="2" s="1"/>
  <c r="J44" i="2"/>
  <c r="N44" i="2" s="1"/>
  <c r="J9" i="2"/>
  <c r="N9" i="2" s="1"/>
  <c r="J45" i="2"/>
  <c r="N45" i="2" s="1"/>
  <c r="J10" i="2"/>
  <c r="N10" i="2" s="1"/>
  <c r="J46" i="2"/>
  <c r="N46" i="2" s="1"/>
  <c r="J11" i="2"/>
  <c r="N11" i="2" s="1"/>
  <c r="N36" i="2"/>
  <c r="N47" i="2"/>
  <c r="N24" i="2"/>
  <c r="N12" i="2"/>
  <c r="S1" i="2"/>
  <c r="N35" i="2"/>
  <c r="N13" i="2"/>
  <c r="N23" i="2"/>
</calcChain>
</file>

<file path=xl/sharedStrings.xml><?xml version="1.0" encoding="utf-8"?>
<sst xmlns="http://schemas.openxmlformats.org/spreadsheetml/2006/main" count="174" uniqueCount="111">
  <si>
    <t>ISSN</t>
  </si>
  <si>
    <t>SDG-DNA</t>
  </si>
  <si>
    <t>STEINGARD FINE-TUNING</t>
  </si>
  <si>
    <t>NEW WEIGHT SDGII</t>
  </si>
  <si>
    <t>SDG-DNA FORMULA</t>
  </si>
  <si>
    <t>SDG WHEELS FORMULA</t>
  </si>
  <si>
    <t>New Accuracy</t>
  </si>
  <si>
    <t>Total Articles</t>
  </si>
  <si>
    <t>SDG Presence (%)</t>
  </si>
  <si>
    <t>Top SDG Dominance (%)</t>
  </si>
  <si>
    <t>Absolute Difference</t>
  </si>
  <si>
    <t>File Name</t>
  </si>
  <si>
    <t>Top SDG 1</t>
  </si>
  <si>
    <t>Top SDG 2</t>
  </si>
  <si>
    <t>Top SDG 3</t>
  </si>
  <si>
    <t>Contemporary Accounting Research</t>
  </si>
  <si>
    <t>Human Resource Management</t>
  </si>
  <si>
    <t>Academy of Management Journal</t>
  </si>
  <si>
    <t>Academy of Management Review</t>
  </si>
  <si>
    <t>Administrative Science Quarterly</t>
  </si>
  <si>
    <t>American Economic Review</t>
  </si>
  <si>
    <t>Econometrica</t>
  </si>
  <si>
    <t>Entrepreneurship Theory and Practice</t>
  </si>
  <si>
    <t>Human Relations</t>
  </si>
  <si>
    <t>Information Systems Research</t>
  </si>
  <si>
    <t>Journal of Accounting and Economics</t>
  </si>
  <si>
    <t>Journal of Accounting Research</t>
  </si>
  <si>
    <t>Journal of Applied psychology</t>
  </si>
  <si>
    <t>Journal of Business Ethics</t>
  </si>
  <si>
    <t>Journal of Business Venturing</t>
  </si>
  <si>
    <t>Journal of Consumer Psychology</t>
  </si>
  <si>
    <t>Journal of Consumer Research</t>
  </si>
  <si>
    <t>Journal of Financial and Quantitative Analysis</t>
  </si>
  <si>
    <t>Journal of Financial Economics</t>
  </si>
  <si>
    <t>Journal of International Business Studies</t>
  </si>
  <si>
    <t>Journal of Management</t>
  </si>
  <si>
    <t>Journal of Management Information Systems</t>
  </si>
  <si>
    <t>Journal of Management Studies</t>
  </si>
  <si>
    <t>Journal of Marketing</t>
  </si>
  <si>
    <t>Journal of Marketing Research</t>
  </si>
  <si>
    <t>Journal of Operations Management</t>
  </si>
  <si>
    <t>Journal of Political Economy</t>
  </si>
  <si>
    <t>Journal of the Academy of Marketing Science</t>
  </si>
  <si>
    <t>Management Science</t>
  </si>
  <si>
    <t>Manufacturing and Service Operations Management</t>
  </si>
  <si>
    <t>Marketing Science</t>
  </si>
  <si>
    <t>MIS Quarterly</t>
  </si>
  <si>
    <t>Operations Research</t>
  </si>
  <si>
    <t>Organization Science</t>
  </si>
  <si>
    <t>Organization Studies</t>
  </si>
  <si>
    <t>Organizational Behavior and Human Decision Processes</t>
  </si>
  <si>
    <t>Production and Operations Management</t>
  </si>
  <si>
    <t>Quarterly Journal of Economics</t>
  </si>
  <si>
    <t>Research Policy</t>
  </si>
  <si>
    <t>Review of Accounting Studies</t>
  </si>
  <si>
    <t>Review of Economic Studies</t>
  </si>
  <si>
    <t>Review of Finance</t>
  </si>
  <si>
    <t>Review of Financial Studies</t>
  </si>
  <si>
    <t>Strategic Entrepreneurship Journal</t>
  </si>
  <si>
    <t>Strategic Management Journal</t>
  </si>
  <si>
    <t>The Accounting Review</t>
  </si>
  <si>
    <t>The Journal of Finance</t>
  </si>
  <si>
    <t>Accounting Organizations and Society</t>
  </si>
  <si>
    <t>Journal of Applied Psychology</t>
  </si>
  <si>
    <t>1756-6916</t>
  </si>
  <si>
    <t>0304-405X</t>
  </si>
  <si>
    <t>1523-4614</t>
  </si>
  <si>
    <t>2162-9730</t>
  </si>
  <si>
    <t>0034-6527</t>
  </si>
  <si>
    <t>0893-9454</t>
  </si>
  <si>
    <t>1558-7967</t>
  </si>
  <si>
    <t>1540-6261</t>
  </si>
  <si>
    <t>0001-4273</t>
  </si>
  <si>
    <t>1930-3807</t>
  </si>
  <si>
    <t>1873-6289</t>
  </si>
  <si>
    <t>1930-3815</t>
  </si>
  <si>
    <t>0022-3808</t>
  </si>
  <si>
    <t>1468-0262</t>
  </si>
  <si>
    <t>1540-6520</t>
  </si>
  <si>
    <t>1741-282X</t>
  </si>
  <si>
    <t>2153-7895</t>
  </si>
  <si>
    <t>1879-1980</t>
  </si>
  <si>
    <t>0021-8456</t>
  </si>
  <si>
    <t>0021-9010</t>
  </si>
  <si>
    <t>1573-0697</t>
  </si>
  <si>
    <t>0883-9026</t>
  </si>
  <si>
    <t>1532-7663</t>
  </si>
  <si>
    <t>0093-5301</t>
  </si>
  <si>
    <t>0047-2506</t>
  </si>
  <si>
    <t>0149-2063</t>
  </si>
  <si>
    <t>1557-928X</t>
  </si>
  <si>
    <t>1467-6486</t>
  </si>
  <si>
    <t>1547-7185</t>
  </si>
  <si>
    <t>0022-2437</t>
  </si>
  <si>
    <t>0272-6963</t>
  </si>
  <si>
    <t>1552-7824</t>
  </si>
  <si>
    <t>1526-5501</t>
  </si>
  <si>
    <t>1526-548X</t>
  </si>
  <si>
    <t>1526-5463</t>
  </si>
  <si>
    <t>1047-7039</t>
  </si>
  <si>
    <t>1741-3044</t>
  </si>
  <si>
    <t>0749-5978</t>
  </si>
  <si>
    <t>1059-1478</t>
  </si>
  <si>
    <t>0033-5533</t>
  </si>
  <si>
    <t>0048-7333</t>
  </si>
  <si>
    <t>1380-6653</t>
  </si>
  <si>
    <t>1875-824X</t>
  </si>
  <si>
    <t>1932-4391</t>
  </si>
  <si>
    <t>1097-0266</t>
  </si>
  <si>
    <t>0823-9150</t>
  </si>
  <si>
    <t>0090-4848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</si>
</sst>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6" fillId="33" borderId="0" xfId="0" applyFont="1" applyFill="1" applyAlignment="1">
      <alignment horizontal="center" wrapText="1"/>
    </xf>
    <xf numFmtId="0" fontId="0" fillId="34" borderId="0" xfId="0" applyFill="1" applyAlignment="1">
      <alignment horizontal="center" wrapText="1"/>
    </xf>
    <xf numFmtId="2" fontId="16" fillId="34" borderId="0" xfId="0" applyNumberFormat="1" applyFont="1" applyFill="1" applyAlignment="1">
      <alignment horizontal="center" wrapText="1"/>
    </xf>
    <xf numFmtId="1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0" fontId="0" fillId="35" borderId="0" xfId="0" applyNumberFormat="1" applyFill="1" applyAlignment="1">
      <alignment wrapText="1"/>
    </xf>
    <xf numFmtId="0" fontId="16" fillId="36" borderId="0" xfId="0" applyFont="1" applyFill="1" applyAlignment="1">
      <alignment wrapText="1"/>
    </xf>
    <xf numFmtId="0" fontId="0" fillId="36" borderId="0" xfId="0" applyFill="1" applyAlignment="1">
      <alignment horizontal="center" vertical="center"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horizontal="center" vertical="center"/>
    </xf>
    <xf numFmtId="0" fontId="0" fillId="37" borderId="0" xfId="0" applyFill="1"/>
    <xf numFmtId="1" fontId="0" fillId="37" borderId="0" xfId="0" applyNumberFormat="1" applyFill="1" applyAlignment="1">
      <alignment horizontal="center" vertical="center"/>
    </xf>
    <xf numFmtId="1" fontId="0" fillId="37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9E0F6-4CC9-4976-8863-7375A770505D}">
  <dimension ref="A1:AD201"/>
  <sheetViews>
    <sheetView tabSelected="1" zoomScale="127" zoomScaleNormal="127" workbookViewId="0">
      <pane xSplit="1" topLeftCell="J1" activePane="topRight" state="frozen"/>
      <selection pane="topRight" activeCell="N4" sqref="N4"/>
    </sheetView>
  </sheetViews>
  <sheetFormatPr defaultColWidth="10.796875" defaultRowHeight="15.6" x14ac:dyDescent="0.3"/>
  <cols>
    <col min="1" max="1" width="75.5" bestFit="1" customWidth="1"/>
    <col min="3" max="5" width="10.796875" customWidth="1"/>
    <col min="6" max="6" width="20.296875" bestFit="1" customWidth="1"/>
    <col min="7" max="9" width="20.296875" customWidth="1"/>
    <col min="10" max="10" width="26.19921875" bestFit="1" customWidth="1"/>
    <col min="11" max="11" width="25.69921875" customWidth="1"/>
    <col min="12" max="12" width="10.796875" hidden="1" customWidth="1"/>
    <col min="13" max="13" width="9.69921875" hidden="1" customWidth="1"/>
    <col min="14" max="14" width="10.796875" customWidth="1"/>
    <col min="15" max="15" width="11.796875" bestFit="1" customWidth="1"/>
    <col min="17" max="18" width="11.59765625" bestFit="1" customWidth="1"/>
  </cols>
  <sheetData>
    <row r="1" spans="1:30" s="5" customFormat="1" ht="31.2" x14ac:dyDescent="0.3">
      <c r="A1" t="s">
        <v>11</v>
      </c>
      <c r="B1" t="s">
        <v>0</v>
      </c>
      <c r="C1" t="s">
        <v>7</v>
      </c>
      <c r="D1" t="s">
        <v>8</v>
      </c>
      <c r="E1" t="s">
        <v>9</v>
      </c>
      <c r="F1" s="8" t="s">
        <v>3</v>
      </c>
      <c r="G1" t="s">
        <v>12</v>
      </c>
      <c r="H1" t="s">
        <v>13</v>
      </c>
      <c r="I1" t="s">
        <v>14</v>
      </c>
      <c r="J1" s="6" t="s">
        <v>5</v>
      </c>
      <c r="K1" s="9" t="s">
        <v>2</v>
      </c>
      <c r="L1" s="5" t="s">
        <v>1</v>
      </c>
      <c r="M1" s="5" t="s">
        <v>4</v>
      </c>
      <c r="N1" s="5" t="s">
        <v>10</v>
      </c>
      <c r="P1" s="1">
        <v>1.2</v>
      </c>
      <c r="Q1" s="2">
        <f>0.5</f>
        <v>0.5</v>
      </c>
      <c r="R1" s="2">
        <f>1-Q1</f>
        <v>0.5</v>
      </c>
      <c r="S1" s="3">
        <f>Q1+R1</f>
        <v>1</v>
      </c>
      <c r="U1" s="2">
        <v>80</v>
      </c>
      <c r="V1" s="2">
        <v>60</v>
      </c>
      <c r="W1" s="2">
        <v>40</v>
      </c>
      <c r="X1" s="2">
        <v>20</v>
      </c>
      <c r="Y1" s="2">
        <v>0</v>
      </c>
      <c r="Z1" s="2">
        <v>0</v>
      </c>
      <c r="AA1" s="5" t="s">
        <v>6</v>
      </c>
      <c r="AB1" s="7">
        <f>COUNTIF(N2:N49,"&lt;2")/COUNT(N2:N49)</f>
        <v>2.0833333333333332E-2</v>
      </c>
      <c r="AC1" s="10"/>
      <c r="AD1" s="7"/>
    </row>
    <row r="2" spans="1:30" x14ac:dyDescent="0.3">
      <c r="A2" t="s">
        <v>17</v>
      </c>
      <c r="B2" t="str">
        <f>_xlfn.XLOOKUP(A2,'2020-2023'!$A$2:$A$49,'2020-2023'!$B$2:$B$49,"N/A")</f>
        <v>0001-4273</v>
      </c>
      <c r="C2">
        <v>359</v>
      </c>
      <c r="D2">
        <v>7.24</v>
      </c>
      <c r="E2">
        <v>50</v>
      </c>
      <c r="F2">
        <f>$Q$1*D2+$R$1*E2</f>
        <v>28.62</v>
      </c>
      <c r="G2">
        <v>16</v>
      </c>
      <c r="H2">
        <v>13</v>
      </c>
      <c r="I2">
        <v>3</v>
      </c>
      <c r="J2" s="11" t="str">
        <f t="shared" ref="J2:J33" si="0">IF(F2&gt;$U$1,"5",IF(F2&gt;$V$1,"4",IF(F2&gt;$W$1,"3",IF(F2&gt;$X$1,"2",IF(F2&gt;$Y$1,"1",IF(F2&gt;$Z$1,"0"))))))</f>
        <v>2</v>
      </c>
      <c r="K2" s="11">
        <v>5</v>
      </c>
      <c r="N2" s="4">
        <f t="shared" ref="N2:N49" si="1">ABS(J2-K2)</f>
        <v>3</v>
      </c>
      <c r="O2" s="4"/>
    </row>
    <row r="3" spans="1:30" x14ac:dyDescent="0.3">
      <c r="A3" t="s">
        <v>18</v>
      </c>
      <c r="B3" t="str">
        <f>_xlfn.XLOOKUP(A3,'2020-2023'!$A$2:$A$49,'2020-2023'!$B$2:$B$49,"N/A")</f>
        <v>1930-3807</v>
      </c>
      <c r="C3">
        <v>200</v>
      </c>
      <c r="D3">
        <v>2</v>
      </c>
      <c r="E3">
        <v>50</v>
      </c>
      <c r="F3">
        <f t="shared" ref="F3:F49" si="2">$Q$1*D3+$R$1*E3</f>
        <v>26</v>
      </c>
      <c r="G3">
        <v>10</v>
      </c>
      <c r="H3">
        <v>3</v>
      </c>
      <c r="I3">
        <v>15</v>
      </c>
      <c r="J3" s="11" t="str">
        <f t="shared" si="0"/>
        <v>2</v>
      </c>
      <c r="K3" s="11">
        <v>5</v>
      </c>
      <c r="N3" s="4">
        <f t="shared" si="1"/>
        <v>3</v>
      </c>
      <c r="O3" s="4"/>
    </row>
    <row r="4" spans="1:30" x14ac:dyDescent="0.3">
      <c r="A4" t="s">
        <v>62</v>
      </c>
      <c r="B4" t="str">
        <f>_xlfn.XLOOKUP(A4,'2020-2023'!$A$2:$A$49,'2020-2023'!$B$2:$B$49,"N/A")</f>
        <v>1873-6289</v>
      </c>
      <c r="C4">
        <v>161</v>
      </c>
      <c r="D4">
        <v>7.45</v>
      </c>
      <c r="E4">
        <v>63.64</v>
      </c>
      <c r="F4">
        <f t="shared" si="2"/>
        <v>35.545000000000002</v>
      </c>
      <c r="G4">
        <v>16</v>
      </c>
      <c r="H4">
        <v>3</v>
      </c>
      <c r="I4">
        <v>2</v>
      </c>
      <c r="J4" s="11" t="str">
        <f t="shared" si="0"/>
        <v>2</v>
      </c>
      <c r="K4" s="11">
        <v>5</v>
      </c>
      <c r="N4" s="4">
        <f t="shared" si="1"/>
        <v>3</v>
      </c>
      <c r="O4" s="4"/>
    </row>
    <row r="5" spans="1:30" x14ac:dyDescent="0.3">
      <c r="A5" t="s">
        <v>19</v>
      </c>
      <c r="B5" t="str">
        <f>_xlfn.XLOOKUP(A5,'2020-2023'!$A$2:$A$49,'2020-2023'!$B$2:$B$49,"N/A")</f>
        <v>1930-3815</v>
      </c>
      <c r="C5">
        <v>183</v>
      </c>
      <c r="D5">
        <v>13.11</v>
      </c>
      <c r="E5">
        <v>53.33</v>
      </c>
      <c r="F5">
        <f t="shared" si="2"/>
        <v>33.22</v>
      </c>
      <c r="G5">
        <v>5</v>
      </c>
      <c r="H5">
        <v>16</v>
      </c>
      <c r="I5">
        <v>3</v>
      </c>
      <c r="J5" s="11" t="str">
        <f t="shared" si="0"/>
        <v>2</v>
      </c>
      <c r="K5" s="11">
        <v>5</v>
      </c>
      <c r="N5" s="4">
        <f t="shared" si="1"/>
        <v>3</v>
      </c>
      <c r="O5" s="4"/>
    </row>
    <row r="6" spans="1:30" x14ac:dyDescent="0.3">
      <c r="A6" t="s">
        <v>20</v>
      </c>
      <c r="B6" t="str">
        <f>_xlfn.XLOOKUP(A6,'2020-2023'!$A$2:$A$49,'2020-2023'!$B$2:$B$49,"N/A")</f>
        <v>0022-3808</v>
      </c>
      <c r="C6">
        <v>794</v>
      </c>
      <c r="D6">
        <v>28.97</v>
      </c>
      <c r="E6">
        <v>62.03</v>
      </c>
      <c r="F6">
        <f t="shared" si="2"/>
        <v>45.5</v>
      </c>
      <c r="G6">
        <v>8</v>
      </c>
      <c r="H6">
        <v>3</v>
      </c>
      <c r="I6">
        <v>5</v>
      </c>
      <c r="J6" s="11" t="str">
        <f t="shared" si="0"/>
        <v>3</v>
      </c>
      <c r="K6" s="11">
        <v>5</v>
      </c>
      <c r="L6" s="11"/>
      <c r="N6" s="4">
        <f t="shared" si="1"/>
        <v>2</v>
      </c>
      <c r="O6" s="4"/>
    </row>
    <row r="7" spans="1:30" x14ac:dyDescent="0.3">
      <c r="A7" t="s">
        <v>21</v>
      </c>
      <c r="B7" t="str">
        <f>_xlfn.XLOOKUP(A7,'2020-2023'!$A$2:$A$49,'2020-2023'!$B$2:$B$49,"N/A")</f>
        <v>1468-0262</v>
      </c>
      <c r="C7">
        <v>327</v>
      </c>
      <c r="D7">
        <v>12.54</v>
      </c>
      <c r="E7">
        <v>55.88</v>
      </c>
      <c r="F7">
        <f t="shared" si="2"/>
        <v>34.21</v>
      </c>
      <c r="G7">
        <v>8</v>
      </c>
      <c r="H7">
        <v>10</v>
      </c>
      <c r="I7">
        <v>16</v>
      </c>
      <c r="J7" s="11" t="str">
        <f t="shared" si="0"/>
        <v>2</v>
      </c>
      <c r="K7" s="11">
        <v>5</v>
      </c>
      <c r="L7" s="11"/>
      <c r="N7" s="4">
        <f t="shared" si="1"/>
        <v>3</v>
      </c>
      <c r="O7" s="4"/>
    </row>
    <row r="8" spans="1:30" x14ac:dyDescent="0.3">
      <c r="A8" t="s">
        <v>22</v>
      </c>
      <c r="B8" t="str">
        <f>_xlfn.XLOOKUP(A8,'2020-2023'!$A$2:$A$49,'2020-2023'!$B$2:$B$49,"N/A")</f>
        <v>1540-6520</v>
      </c>
      <c r="C8">
        <v>258</v>
      </c>
      <c r="D8">
        <v>15.89</v>
      </c>
      <c r="E8">
        <v>45.45</v>
      </c>
      <c r="F8">
        <f t="shared" si="2"/>
        <v>30.67</v>
      </c>
      <c r="G8">
        <v>5</v>
      </c>
      <c r="H8">
        <v>8</v>
      </c>
      <c r="I8">
        <v>16</v>
      </c>
      <c r="J8" s="11" t="str">
        <f t="shared" si="0"/>
        <v>2</v>
      </c>
      <c r="K8" s="11">
        <v>5</v>
      </c>
      <c r="L8" s="11"/>
      <c r="N8" s="4">
        <f t="shared" si="1"/>
        <v>3</v>
      </c>
      <c r="O8" s="4"/>
    </row>
    <row r="9" spans="1:30" x14ac:dyDescent="0.3">
      <c r="A9" t="s">
        <v>23</v>
      </c>
      <c r="B9" t="str">
        <f>_xlfn.XLOOKUP(A9,'2020-2023'!$A$2:$A$49,'2020-2023'!$B$2:$B$49,"N/A")</f>
        <v>1741-282X</v>
      </c>
      <c r="C9">
        <v>387</v>
      </c>
      <c r="D9">
        <v>18.600000000000001</v>
      </c>
      <c r="E9">
        <v>38.78</v>
      </c>
      <c r="F9">
        <f t="shared" si="2"/>
        <v>28.69</v>
      </c>
      <c r="G9">
        <v>5</v>
      </c>
      <c r="H9">
        <v>16</v>
      </c>
      <c r="I9">
        <v>3</v>
      </c>
      <c r="J9" s="11" t="str">
        <f t="shared" si="0"/>
        <v>2</v>
      </c>
      <c r="K9" s="11">
        <v>5</v>
      </c>
      <c r="N9" s="4">
        <f t="shared" si="1"/>
        <v>3</v>
      </c>
      <c r="O9" s="4"/>
    </row>
    <row r="10" spans="1:30" x14ac:dyDescent="0.3">
      <c r="A10" t="s">
        <v>24</v>
      </c>
      <c r="B10" t="str">
        <f>_xlfn.XLOOKUP(A10,'2020-2023'!$A$2:$A$49,'2020-2023'!$B$2:$B$49,"N/A")</f>
        <v>2153-7895</v>
      </c>
      <c r="C10">
        <v>268</v>
      </c>
      <c r="D10">
        <v>11.57</v>
      </c>
      <c r="E10">
        <v>53.85</v>
      </c>
      <c r="F10">
        <f t="shared" si="2"/>
        <v>32.71</v>
      </c>
      <c r="G10">
        <v>9</v>
      </c>
      <c r="H10">
        <v>3</v>
      </c>
      <c r="I10">
        <v>8</v>
      </c>
      <c r="J10" s="11" t="str">
        <f t="shared" si="0"/>
        <v>2</v>
      </c>
      <c r="K10" s="11">
        <v>5</v>
      </c>
      <c r="N10" s="4">
        <f t="shared" si="1"/>
        <v>3</v>
      </c>
      <c r="O10" s="4"/>
    </row>
    <row r="11" spans="1:30" x14ac:dyDescent="0.3">
      <c r="A11" t="s">
        <v>25</v>
      </c>
      <c r="B11" t="str">
        <f>_xlfn.XLOOKUP(A11,'2020-2023'!$A$2:$A$49,'2020-2023'!$B$2:$B$49,"N/A")</f>
        <v>1879-1980</v>
      </c>
      <c r="C11">
        <v>189</v>
      </c>
      <c r="D11">
        <v>4.76</v>
      </c>
      <c r="E11">
        <v>42.86</v>
      </c>
      <c r="F11">
        <f t="shared" si="2"/>
        <v>23.81</v>
      </c>
      <c r="G11">
        <v>8</v>
      </c>
      <c r="H11">
        <v>9</v>
      </c>
      <c r="I11">
        <v>16</v>
      </c>
      <c r="J11" s="11" t="str">
        <f t="shared" si="0"/>
        <v>2</v>
      </c>
      <c r="K11" s="11">
        <v>5</v>
      </c>
      <c r="N11" s="4">
        <f t="shared" si="1"/>
        <v>3</v>
      </c>
      <c r="O11" s="4"/>
    </row>
    <row r="12" spans="1:30" x14ac:dyDescent="0.3">
      <c r="A12" t="s">
        <v>26</v>
      </c>
      <c r="B12" t="str">
        <f>_xlfn.XLOOKUP(A12,'2020-2023'!$A$2:$A$49,'2020-2023'!$B$2:$B$49,"N/A")</f>
        <v>0021-8456</v>
      </c>
      <c r="C12">
        <v>148</v>
      </c>
      <c r="D12">
        <v>7.43</v>
      </c>
      <c r="E12">
        <v>44.44</v>
      </c>
      <c r="F12">
        <f t="shared" si="2"/>
        <v>25.934999999999999</v>
      </c>
      <c r="G12">
        <v>9</v>
      </c>
      <c r="H12">
        <v>8</v>
      </c>
      <c r="I12">
        <v>3</v>
      </c>
      <c r="J12" s="11" t="str">
        <f t="shared" si="0"/>
        <v>2</v>
      </c>
      <c r="K12" s="11">
        <v>5</v>
      </c>
      <c r="N12" s="4">
        <f t="shared" si="1"/>
        <v>3</v>
      </c>
      <c r="O12" s="4"/>
    </row>
    <row r="13" spans="1:30" x14ac:dyDescent="0.3">
      <c r="A13" t="s">
        <v>27</v>
      </c>
      <c r="B13" t="str">
        <f>_xlfn.XLOOKUP(A13,'2020-2023'!$A$2:$A$49,'2020-2023'!$B$2:$B$49,"N/A")</f>
        <v>0021-9010</v>
      </c>
      <c r="C13">
        <v>503</v>
      </c>
      <c r="D13">
        <v>16.7</v>
      </c>
      <c r="E13">
        <v>43.33</v>
      </c>
      <c r="F13">
        <f t="shared" si="2"/>
        <v>30.015000000000001</v>
      </c>
      <c r="G13">
        <v>3</v>
      </c>
      <c r="H13">
        <v>16</v>
      </c>
      <c r="I13">
        <v>5</v>
      </c>
      <c r="J13" s="11" t="str">
        <f t="shared" si="0"/>
        <v>2</v>
      </c>
      <c r="K13" s="11">
        <v>5</v>
      </c>
      <c r="N13" s="4">
        <f t="shared" si="1"/>
        <v>3</v>
      </c>
      <c r="O13" s="4"/>
    </row>
    <row r="14" spans="1:30" x14ac:dyDescent="0.3">
      <c r="A14" t="s">
        <v>28</v>
      </c>
      <c r="B14" t="str">
        <f>_xlfn.XLOOKUP(A14,'2020-2023'!$A$2:$A$49,'2020-2023'!$B$2:$B$49,"N/A")</f>
        <v>1573-0697</v>
      </c>
      <c r="C14">
        <v>1383</v>
      </c>
      <c r="D14">
        <v>21.98</v>
      </c>
      <c r="E14">
        <v>71.88</v>
      </c>
      <c r="F14">
        <f t="shared" si="2"/>
        <v>46.93</v>
      </c>
      <c r="G14">
        <v>16</v>
      </c>
      <c r="H14">
        <v>4</v>
      </c>
      <c r="I14">
        <v>5</v>
      </c>
      <c r="J14" s="11" t="str">
        <f t="shared" si="0"/>
        <v>3</v>
      </c>
      <c r="K14" s="11">
        <v>5</v>
      </c>
      <c r="N14" s="4">
        <f t="shared" si="1"/>
        <v>2</v>
      </c>
      <c r="O14" s="4"/>
    </row>
    <row r="15" spans="1:30" x14ac:dyDescent="0.3">
      <c r="A15" t="s">
        <v>29</v>
      </c>
      <c r="B15" t="str">
        <f>_xlfn.XLOOKUP(A15,'2020-2023'!$A$2:$A$49,'2020-2023'!$B$2:$B$49,"N/A")</f>
        <v>0883-9026</v>
      </c>
      <c r="C15">
        <v>171</v>
      </c>
      <c r="D15">
        <v>21.64</v>
      </c>
      <c r="E15">
        <v>57.14</v>
      </c>
      <c r="F15">
        <f t="shared" si="2"/>
        <v>39.39</v>
      </c>
      <c r="G15">
        <v>8</v>
      </c>
      <c r="H15">
        <v>5</v>
      </c>
      <c r="I15">
        <v>3</v>
      </c>
      <c r="J15" s="11" t="str">
        <f t="shared" si="0"/>
        <v>2</v>
      </c>
      <c r="K15" s="11">
        <v>5</v>
      </c>
      <c r="N15" s="4">
        <f t="shared" si="1"/>
        <v>3</v>
      </c>
      <c r="O15" s="4"/>
    </row>
    <row r="16" spans="1:30" x14ac:dyDescent="0.3">
      <c r="A16" t="s">
        <v>30</v>
      </c>
      <c r="B16" t="str">
        <f>_xlfn.XLOOKUP(A16,'2020-2023'!$A$2:$A$49,'2020-2023'!$B$2:$B$49,"N/A")</f>
        <v>1532-7663</v>
      </c>
      <c r="C16">
        <v>204</v>
      </c>
      <c r="D16">
        <v>9.31</v>
      </c>
      <c r="E16">
        <v>81.25</v>
      </c>
      <c r="F16">
        <f t="shared" si="2"/>
        <v>45.28</v>
      </c>
      <c r="G16">
        <v>3</v>
      </c>
      <c r="H16">
        <v>10</v>
      </c>
      <c r="I16">
        <v>4</v>
      </c>
      <c r="J16" s="11" t="str">
        <f t="shared" si="0"/>
        <v>3</v>
      </c>
      <c r="K16" s="11">
        <v>5</v>
      </c>
      <c r="N16" s="4">
        <f t="shared" si="1"/>
        <v>2</v>
      </c>
      <c r="O16" s="4"/>
    </row>
    <row r="17" spans="1:15" x14ac:dyDescent="0.3">
      <c r="A17" t="s">
        <v>31</v>
      </c>
      <c r="B17" t="str">
        <f>_xlfn.XLOOKUP(A17,'2020-2023'!$A$2:$A$49,'2020-2023'!$B$2:$B$49,"N/A")</f>
        <v>0093-5301</v>
      </c>
      <c r="C17">
        <v>315</v>
      </c>
      <c r="D17">
        <v>5.08</v>
      </c>
      <c r="E17">
        <v>66.67</v>
      </c>
      <c r="F17">
        <f t="shared" si="2"/>
        <v>35.875</v>
      </c>
      <c r="G17">
        <v>3</v>
      </c>
      <c r="H17">
        <v>6</v>
      </c>
      <c r="I17">
        <v>5</v>
      </c>
      <c r="J17" s="11" t="str">
        <f t="shared" si="0"/>
        <v>2</v>
      </c>
      <c r="K17" s="11">
        <v>5</v>
      </c>
      <c r="L17" s="11"/>
      <c r="N17" s="4">
        <f t="shared" si="1"/>
        <v>3</v>
      </c>
      <c r="O17" s="4"/>
    </row>
    <row r="18" spans="1:15" x14ac:dyDescent="0.3">
      <c r="A18" t="s">
        <v>32</v>
      </c>
      <c r="B18" t="str">
        <f>_xlfn.XLOOKUP(A18,'2020-2023'!$A$2:$A$49,'2020-2023'!$B$2:$B$49,"N/A")</f>
        <v>1756-6916</v>
      </c>
      <c r="C18">
        <v>463</v>
      </c>
      <c r="D18">
        <v>8.2100000000000009</v>
      </c>
      <c r="E18">
        <v>48.28</v>
      </c>
      <c r="F18">
        <f t="shared" si="2"/>
        <v>28.245000000000001</v>
      </c>
      <c r="G18">
        <v>9</v>
      </c>
      <c r="H18">
        <v>8</v>
      </c>
      <c r="I18">
        <v>16</v>
      </c>
      <c r="J18" s="11" t="str">
        <f t="shared" si="0"/>
        <v>2</v>
      </c>
      <c r="K18" s="11">
        <v>5</v>
      </c>
      <c r="N18" s="4">
        <f t="shared" si="1"/>
        <v>3</v>
      </c>
      <c r="O18" s="4"/>
    </row>
    <row r="19" spans="1:15" x14ac:dyDescent="0.3">
      <c r="A19" t="s">
        <v>33</v>
      </c>
      <c r="B19" t="str">
        <f>_xlfn.XLOOKUP(A19,'2020-2023'!$A$2:$A$49,'2020-2023'!$B$2:$B$49,"N/A")</f>
        <v>0304-405X</v>
      </c>
      <c r="C19">
        <v>499</v>
      </c>
      <c r="D19">
        <v>8.6199999999999992</v>
      </c>
      <c r="E19">
        <v>39.39</v>
      </c>
      <c r="F19">
        <f t="shared" si="2"/>
        <v>24.004999999999999</v>
      </c>
      <c r="G19">
        <v>8</v>
      </c>
      <c r="H19">
        <v>9</v>
      </c>
      <c r="I19">
        <v>16</v>
      </c>
      <c r="J19" s="11" t="str">
        <f t="shared" si="0"/>
        <v>2</v>
      </c>
      <c r="K19" s="11">
        <v>5</v>
      </c>
      <c r="N19" s="4">
        <f t="shared" si="1"/>
        <v>3</v>
      </c>
      <c r="O19" s="4"/>
    </row>
    <row r="20" spans="1:15" x14ac:dyDescent="0.3">
      <c r="A20" t="s">
        <v>34</v>
      </c>
      <c r="B20" t="str">
        <f>_xlfn.XLOOKUP(A20,'2020-2023'!$A$2:$A$49,'2020-2023'!$B$2:$B$49,"N/A")</f>
        <v>0047-2506</v>
      </c>
      <c r="C20">
        <v>302</v>
      </c>
      <c r="D20">
        <v>12.91</v>
      </c>
      <c r="E20">
        <v>64.290000000000006</v>
      </c>
      <c r="F20">
        <f t="shared" si="2"/>
        <v>38.6</v>
      </c>
      <c r="G20">
        <v>16</v>
      </c>
      <c r="H20">
        <v>8</v>
      </c>
      <c r="I20">
        <v>3</v>
      </c>
      <c r="J20" s="11" t="str">
        <f t="shared" si="0"/>
        <v>2</v>
      </c>
      <c r="K20" s="11">
        <v>5</v>
      </c>
      <c r="N20" s="4">
        <f t="shared" si="1"/>
        <v>3</v>
      </c>
      <c r="O20" s="4"/>
    </row>
    <row r="21" spans="1:15" x14ac:dyDescent="0.3">
      <c r="A21" t="s">
        <v>35</v>
      </c>
      <c r="B21" t="str">
        <f>_xlfn.XLOOKUP(A21,'2020-2023'!$A$2:$A$49,'2020-2023'!$B$2:$B$49,"N/A")</f>
        <v>0149-2063</v>
      </c>
      <c r="C21">
        <v>465</v>
      </c>
      <c r="D21">
        <v>13.55</v>
      </c>
      <c r="E21">
        <v>41.86</v>
      </c>
      <c r="F21">
        <f t="shared" si="2"/>
        <v>27.704999999999998</v>
      </c>
      <c r="G21">
        <v>16</v>
      </c>
      <c r="H21">
        <v>3</v>
      </c>
      <c r="I21">
        <v>8</v>
      </c>
      <c r="J21" s="11" t="str">
        <f t="shared" si="0"/>
        <v>2</v>
      </c>
      <c r="K21" s="11">
        <v>5</v>
      </c>
      <c r="N21" s="4">
        <f t="shared" si="1"/>
        <v>3</v>
      </c>
      <c r="O21" s="4"/>
    </row>
    <row r="22" spans="1:15" x14ac:dyDescent="0.3">
      <c r="A22" t="s">
        <v>36</v>
      </c>
      <c r="B22" t="str">
        <f>_xlfn.XLOOKUP(A22,'2020-2023'!$A$2:$A$49,'2020-2023'!$B$2:$B$49,"N/A")</f>
        <v>1557-928X</v>
      </c>
      <c r="C22">
        <v>187</v>
      </c>
      <c r="D22">
        <v>11.76</v>
      </c>
      <c r="E22">
        <v>47.06</v>
      </c>
      <c r="F22">
        <f t="shared" si="2"/>
        <v>29.41</v>
      </c>
      <c r="G22">
        <v>3</v>
      </c>
      <c r="H22">
        <v>9</v>
      </c>
      <c r="I22">
        <v>16</v>
      </c>
      <c r="J22" s="11" t="str">
        <f t="shared" si="0"/>
        <v>2</v>
      </c>
      <c r="K22" s="11">
        <v>5</v>
      </c>
      <c r="N22" s="4">
        <f t="shared" si="1"/>
        <v>3</v>
      </c>
      <c r="O22" s="4"/>
    </row>
    <row r="23" spans="1:15" x14ac:dyDescent="0.3">
      <c r="A23" t="s">
        <v>37</v>
      </c>
      <c r="B23" t="str">
        <f>_xlfn.XLOOKUP(A23,'2020-2023'!$A$2:$A$49,'2020-2023'!$B$2:$B$49,"N/A")</f>
        <v>1467-6486</v>
      </c>
      <c r="C23">
        <v>267</v>
      </c>
      <c r="D23">
        <v>15.36</v>
      </c>
      <c r="E23">
        <v>50</v>
      </c>
      <c r="F23">
        <f t="shared" si="2"/>
        <v>32.68</v>
      </c>
      <c r="G23">
        <v>16</v>
      </c>
      <c r="H23">
        <v>10</v>
      </c>
      <c r="I23">
        <v>9</v>
      </c>
      <c r="J23" s="11" t="str">
        <f t="shared" si="0"/>
        <v>2</v>
      </c>
      <c r="K23" s="11">
        <v>5</v>
      </c>
      <c r="N23" s="4">
        <f t="shared" si="1"/>
        <v>3</v>
      </c>
      <c r="O23" s="4"/>
    </row>
    <row r="24" spans="1:15" x14ac:dyDescent="0.3">
      <c r="A24" t="s">
        <v>38</v>
      </c>
      <c r="B24" t="str">
        <f>_xlfn.XLOOKUP(A24,'2020-2023'!$A$2:$A$49,'2020-2023'!$B$2:$B$49,"N/A")</f>
        <v>1547-7185</v>
      </c>
      <c r="C24">
        <v>211</v>
      </c>
      <c r="D24">
        <v>9</v>
      </c>
      <c r="E24">
        <v>68.75</v>
      </c>
      <c r="F24">
        <f t="shared" si="2"/>
        <v>38.875</v>
      </c>
      <c r="G24">
        <v>9</v>
      </c>
      <c r="H24">
        <v>3</v>
      </c>
      <c r="I24">
        <v>12</v>
      </c>
      <c r="J24" s="11" t="str">
        <f t="shared" si="0"/>
        <v>2</v>
      </c>
      <c r="K24" s="11">
        <v>4</v>
      </c>
      <c r="N24" s="4">
        <f t="shared" si="1"/>
        <v>2</v>
      </c>
      <c r="O24" s="4"/>
    </row>
    <row r="25" spans="1:15" x14ac:dyDescent="0.3">
      <c r="A25" t="s">
        <v>39</v>
      </c>
      <c r="B25" t="str">
        <f>_xlfn.XLOOKUP(A25,'2020-2023'!$A$2:$A$49,'2020-2023'!$B$2:$B$49,"N/A")</f>
        <v>0022-2437</v>
      </c>
      <c r="C25">
        <v>286</v>
      </c>
      <c r="D25">
        <v>6.99</v>
      </c>
      <c r="E25">
        <v>46.67</v>
      </c>
      <c r="F25">
        <f t="shared" si="2"/>
        <v>26.830000000000002</v>
      </c>
      <c r="G25">
        <v>9</v>
      </c>
      <c r="H25">
        <v>3</v>
      </c>
      <c r="I25">
        <v>4</v>
      </c>
      <c r="J25" s="11" t="str">
        <f t="shared" si="0"/>
        <v>2</v>
      </c>
      <c r="K25" s="11">
        <v>5</v>
      </c>
      <c r="L25" s="11"/>
      <c r="N25" s="4">
        <f t="shared" si="1"/>
        <v>3</v>
      </c>
      <c r="O25" s="4"/>
    </row>
    <row r="26" spans="1:15" x14ac:dyDescent="0.3">
      <c r="A26" t="s">
        <v>40</v>
      </c>
      <c r="B26" t="str">
        <f>_xlfn.XLOOKUP(A26,'2020-2023'!$A$2:$A$49,'2020-2023'!$B$2:$B$49,"N/A")</f>
        <v>0272-6963</v>
      </c>
      <c r="C26">
        <v>155</v>
      </c>
      <c r="D26">
        <v>23.23</v>
      </c>
      <c r="E26">
        <v>41.94</v>
      </c>
      <c r="F26">
        <f t="shared" si="2"/>
        <v>32.585000000000001</v>
      </c>
      <c r="G26">
        <v>9</v>
      </c>
      <c r="H26">
        <v>12</v>
      </c>
      <c r="I26">
        <v>3</v>
      </c>
      <c r="J26" s="11" t="str">
        <f t="shared" si="0"/>
        <v>2</v>
      </c>
      <c r="K26" s="11">
        <v>5</v>
      </c>
      <c r="L26" s="11"/>
      <c r="N26" s="4">
        <f t="shared" si="1"/>
        <v>3</v>
      </c>
      <c r="O26" s="4"/>
    </row>
    <row r="27" spans="1:15" x14ac:dyDescent="0.3">
      <c r="A27" t="s">
        <v>41</v>
      </c>
      <c r="B27" t="str">
        <f>_xlfn.XLOOKUP(A27,'2020-2023'!$A$2:$A$49,'2020-2023'!$B$2:$B$49,"N/A")</f>
        <v>0022-3808</v>
      </c>
      <c r="C27">
        <v>293</v>
      </c>
      <c r="D27">
        <v>4.0999999999999996</v>
      </c>
      <c r="E27">
        <v>44.44</v>
      </c>
      <c r="F27">
        <f t="shared" si="2"/>
        <v>24.27</v>
      </c>
      <c r="G27">
        <v>3</v>
      </c>
      <c r="H27">
        <v>10</v>
      </c>
      <c r="I27">
        <v>4</v>
      </c>
      <c r="J27" s="11" t="str">
        <f t="shared" si="0"/>
        <v>2</v>
      </c>
      <c r="K27" s="11">
        <v>5</v>
      </c>
      <c r="L27" s="11"/>
      <c r="N27" s="4">
        <f t="shared" si="1"/>
        <v>3</v>
      </c>
      <c r="O27" s="4"/>
    </row>
    <row r="28" spans="1:15" x14ac:dyDescent="0.3">
      <c r="A28" t="s">
        <v>42</v>
      </c>
      <c r="B28" t="str">
        <f>_xlfn.XLOOKUP(A28,'2020-2023'!$A$2:$A$49,'2020-2023'!$B$2:$B$49,"N/A")</f>
        <v>1552-7824</v>
      </c>
      <c r="C28">
        <v>241</v>
      </c>
      <c r="D28">
        <v>9.1300000000000008</v>
      </c>
      <c r="E28">
        <v>50</v>
      </c>
      <c r="F28">
        <f t="shared" si="2"/>
        <v>29.565000000000001</v>
      </c>
      <c r="G28">
        <v>9</v>
      </c>
      <c r="H28">
        <v>3</v>
      </c>
      <c r="I28">
        <v>16</v>
      </c>
      <c r="J28" s="11" t="str">
        <f t="shared" si="0"/>
        <v>2</v>
      </c>
      <c r="K28" s="11">
        <v>5</v>
      </c>
      <c r="L28" s="11"/>
      <c r="N28" s="4">
        <f t="shared" si="1"/>
        <v>3</v>
      </c>
      <c r="O28" s="4"/>
    </row>
    <row r="29" spans="1:15" x14ac:dyDescent="0.3">
      <c r="A29" t="s">
        <v>43</v>
      </c>
      <c r="B29" t="str">
        <f>_xlfn.XLOOKUP(A29,'2020-2023'!$A$2:$A$49,'2020-2023'!$B$2:$B$49,"N/A")</f>
        <v>1526-5501</v>
      </c>
      <c r="C29">
        <v>1079</v>
      </c>
      <c r="D29">
        <v>9.64</v>
      </c>
      <c r="E29">
        <v>38.979999999999997</v>
      </c>
      <c r="F29">
        <f t="shared" si="2"/>
        <v>24.31</v>
      </c>
      <c r="G29">
        <v>8</v>
      </c>
      <c r="H29">
        <v>9</v>
      </c>
      <c r="I29">
        <v>3</v>
      </c>
      <c r="J29" s="11" t="str">
        <f t="shared" si="0"/>
        <v>2</v>
      </c>
      <c r="K29" s="11">
        <v>5</v>
      </c>
      <c r="N29" s="4">
        <f t="shared" si="1"/>
        <v>3</v>
      </c>
      <c r="O29" s="4"/>
    </row>
    <row r="30" spans="1:15" x14ac:dyDescent="0.3">
      <c r="A30" t="s">
        <v>44</v>
      </c>
      <c r="B30" t="str">
        <f>_xlfn.XLOOKUP(A30,'2020-2023'!$A$2:$A$49,'2020-2023'!$B$2:$B$49,"N/A")</f>
        <v>1523-4614</v>
      </c>
      <c r="C30">
        <v>197</v>
      </c>
      <c r="D30">
        <v>15.74</v>
      </c>
      <c r="E30">
        <v>38.1</v>
      </c>
      <c r="F30">
        <f t="shared" si="2"/>
        <v>26.92</v>
      </c>
      <c r="G30">
        <v>12</v>
      </c>
      <c r="H30">
        <v>7</v>
      </c>
      <c r="I30">
        <v>3</v>
      </c>
      <c r="J30" s="11" t="str">
        <f t="shared" si="0"/>
        <v>2</v>
      </c>
      <c r="K30" s="11">
        <v>5</v>
      </c>
      <c r="N30" s="4">
        <f t="shared" si="1"/>
        <v>3</v>
      </c>
      <c r="O30" s="4"/>
    </row>
    <row r="31" spans="1:15" x14ac:dyDescent="0.3">
      <c r="A31" t="s">
        <v>45</v>
      </c>
      <c r="B31" t="str">
        <f>_xlfn.XLOOKUP(A31,'2020-2023'!$A$2:$A$49,'2020-2023'!$B$2:$B$49,"N/A")</f>
        <v>1526-548X</v>
      </c>
      <c r="C31">
        <v>238</v>
      </c>
      <c r="D31">
        <v>4.62</v>
      </c>
      <c r="E31">
        <v>50</v>
      </c>
      <c r="F31">
        <f t="shared" si="2"/>
        <v>27.31</v>
      </c>
      <c r="G31">
        <v>9</v>
      </c>
      <c r="H31">
        <v>3</v>
      </c>
      <c r="I31">
        <v>16</v>
      </c>
      <c r="J31" s="11" t="str">
        <f t="shared" si="0"/>
        <v>2</v>
      </c>
      <c r="K31" s="11">
        <v>5</v>
      </c>
      <c r="N31" s="4">
        <f t="shared" si="1"/>
        <v>3</v>
      </c>
      <c r="O31" s="4"/>
    </row>
    <row r="32" spans="1:15" ht="16.95" customHeight="1" x14ac:dyDescent="0.3">
      <c r="A32" t="s">
        <v>46</v>
      </c>
      <c r="B32" t="str">
        <f>_xlfn.XLOOKUP(A32,'2020-2023'!$A$2:$A$49,'2020-2023'!$B$2:$B$49,"N/A")</f>
        <v>2162-9730</v>
      </c>
      <c r="C32">
        <v>202</v>
      </c>
      <c r="D32">
        <v>3.47</v>
      </c>
      <c r="E32">
        <v>85.71</v>
      </c>
      <c r="F32">
        <f t="shared" si="2"/>
        <v>44.589999999999996</v>
      </c>
      <c r="G32">
        <v>3</v>
      </c>
      <c r="H32">
        <v>16</v>
      </c>
      <c r="J32" s="11" t="str">
        <f t="shared" si="0"/>
        <v>3</v>
      </c>
      <c r="K32" s="11">
        <v>5</v>
      </c>
      <c r="N32" s="4">
        <f t="shared" si="1"/>
        <v>2</v>
      </c>
      <c r="O32" s="4"/>
    </row>
    <row r="33" spans="1:15" x14ac:dyDescent="0.3">
      <c r="A33" t="s">
        <v>47</v>
      </c>
      <c r="B33" t="str">
        <f>_xlfn.XLOOKUP(A33,'2020-2023'!$A$2:$A$49,'2020-2023'!$B$2:$B$49,"N/A")</f>
        <v>1526-5463</v>
      </c>
      <c r="C33">
        <v>404</v>
      </c>
      <c r="D33">
        <v>8.17</v>
      </c>
      <c r="E33">
        <v>50</v>
      </c>
      <c r="F33">
        <f t="shared" si="2"/>
        <v>29.085000000000001</v>
      </c>
      <c r="G33">
        <v>7</v>
      </c>
      <c r="H33">
        <v>3</v>
      </c>
      <c r="I33">
        <v>10</v>
      </c>
      <c r="J33" s="11" t="str">
        <f t="shared" si="0"/>
        <v>2</v>
      </c>
      <c r="K33" s="11">
        <v>5</v>
      </c>
      <c r="N33" s="4">
        <f t="shared" si="1"/>
        <v>3</v>
      </c>
      <c r="O33" s="4"/>
    </row>
    <row r="34" spans="1:15" x14ac:dyDescent="0.3">
      <c r="A34" t="s">
        <v>48</v>
      </c>
      <c r="B34" t="str">
        <f>_xlfn.XLOOKUP(A34,'2020-2023'!$A$2:$A$49,'2020-2023'!$B$2:$B$49,"N/A")</f>
        <v>1047-7039</v>
      </c>
      <c r="C34">
        <v>277</v>
      </c>
      <c r="D34">
        <v>14.44</v>
      </c>
      <c r="E34">
        <v>43.33</v>
      </c>
      <c r="F34">
        <f t="shared" si="2"/>
        <v>28.884999999999998</v>
      </c>
      <c r="G34">
        <v>9</v>
      </c>
      <c r="H34">
        <v>8</v>
      </c>
      <c r="I34">
        <v>5</v>
      </c>
      <c r="J34" s="11" t="str">
        <f t="shared" ref="J34:J49" si="3">IF(F34&gt;$U$1,"5",IF(F34&gt;$V$1,"4",IF(F34&gt;$W$1,"3",IF(F34&gt;$X$1,"2",IF(F34&gt;$Y$1,"1",IF(F34&gt;$Z$1,"0"))))))</f>
        <v>2</v>
      </c>
      <c r="K34" s="11">
        <v>5</v>
      </c>
      <c r="N34" s="4">
        <f t="shared" si="1"/>
        <v>3</v>
      </c>
      <c r="O34" s="4"/>
    </row>
    <row r="35" spans="1:15" x14ac:dyDescent="0.3">
      <c r="A35" t="s">
        <v>49</v>
      </c>
      <c r="B35" t="str">
        <f>_xlfn.XLOOKUP(A35,'2020-2023'!$A$2:$A$49,'2020-2023'!$B$2:$B$49,"N/A")</f>
        <v>1741-3044</v>
      </c>
      <c r="C35">
        <v>481</v>
      </c>
      <c r="D35">
        <v>10.81</v>
      </c>
      <c r="E35">
        <v>54.29</v>
      </c>
      <c r="F35">
        <f t="shared" si="2"/>
        <v>32.549999999999997</v>
      </c>
      <c r="G35">
        <v>16</v>
      </c>
      <c r="H35">
        <v>10</v>
      </c>
      <c r="I35">
        <v>5</v>
      </c>
      <c r="J35" s="11" t="str">
        <f t="shared" si="3"/>
        <v>2</v>
      </c>
      <c r="K35" s="11">
        <v>5</v>
      </c>
      <c r="N35" s="4">
        <f t="shared" si="1"/>
        <v>3</v>
      </c>
      <c r="O35" s="4"/>
    </row>
    <row r="36" spans="1:15" x14ac:dyDescent="0.3">
      <c r="A36" t="s">
        <v>50</v>
      </c>
      <c r="B36" t="str">
        <f>_xlfn.XLOOKUP(A36,'2020-2023'!$A$2:$A$49,'2020-2023'!$B$2:$B$49,"N/A")</f>
        <v>0749-5978</v>
      </c>
      <c r="C36">
        <v>193</v>
      </c>
      <c r="D36">
        <v>8.81</v>
      </c>
      <c r="E36">
        <v>50</v>
      </c>
      <c r="F36">
        <f t="shared" si="2"/>
        <v>29.405000000000001</v>
      </c>
      <c r="G36">
        <v>16</v>
      </c>
      <c r="H36">
        <v>5</v>
      </c>
      <c r="I36">
        <v>3</v>
      </c>
      <c r="J36" s="11" t="str">
        <f t="shared" si="3"/>
        <v>2</v>
      </c>
      <c r="K36" s="11">
        <v>5</v>
      </c>
      <c r="N36" s="4">
        <f t="shared" si="1"/>
        <v>3</v>
      </c>
      <c r="O36" s="4"/>
    </row>
    <row r="37" spans="1:15" x14ac:dyDescent="0.3">
      <c r="A37" t="s">
        <v>51</v>
      </c>
      <c r="B37" t="str">
        <f>_xlfn.XLOOKUP(A37,'2020-2023'!$A$2:$A$49,'2020-2023'!$B$2:$B$49,"N/A")</f>
        <v>1059-1478</v>
      </c>
      <c r="C37">
        <v>581</v>
      </c>
      <c r="D37">
        <v>17.04</v>
      </c>
      <c r="E37">
        <v>39.53</v>
      </c>
      <c r="F37">
        <f t="shared" si="2"/>
        <v>28.285</v>
      </c>
      <c r="G37">
        <v>3</v>
      </c>
      <c r="H37">
        <v>12</v>
      </c>
      <c r="I37">
        <v>9</v>
      </c>
      <c r="J37" s="11" t="str">
        <f t="shared" si="3"/>
        <v>2</v>
      </c>
      <c r="K37" s="11">
        <v>5</v>
      </c>
      <c r="N37" s="4">
        <f t="shared" si="1"/>
        <v>3</v>
      </c>
      <c r="O37" s="4"/>
    </row>
    <row r="38" spans="1:15" x14ac:dyDescent="0.3">
      <c r="A38" t="s">
        <v>52</v>
      </c>
      <c r="B38" t="str">
        <f>_xlfn.XLOOKUP(A38,'2020-2023'!$A$2:$A$49,'2020-2023'!$B$2:$B$49,"N/A")</f>
        <v>0033-5533</v>
      </c>
      <c r="C38">
        <v>170</v>
      </c>
      <c r="D38">
        <v>37.06</v>
      </c>
      <c r="E38">
        <v>53.19</v>
      </c>
      <c r="F38">
        <f t="shared" si="2"/>
        <v>45.125</v>
      </c>
      <c r="G38">
        <v>8</v>
      </c>
      <c r="H38">
        <v>10</v>
      </c>
      <c r="I38">
        <v>3</v>
      </c>
      <c r="J38" s="11" t="str">
        <f t="shared" si="3"/>
        <v>3</v>
      </c>
      <c r="K38" s="11">
        <v>5</v>
      </c>
      <c r="N38" s="4">
        <f t="shared" si="1"/>
        <v>2</v>
      </c>
      <c r="O38" s="4"/>
    </row>
    <row r="39" spans="1:15" x14ac:dyDescent="0.3">
      <c r="A39" t="s">
        <v>53</v>
      </c>
      <c r="B39" t="str">
        <f>_xlfn.XLOOKUP(A39,'2020-2023'!$A$2:$A$49,'2020-2023'!$B$2:$B$49,"N/A")</f>
        <v>0048-7333</v>
      </c>
      <c r="C39">
        <v>653</v>
      </c>
      <c r="D39">
        <v>37.06</v>
      </c>
      <c r="E39">
        <v>61.54</v>
      </c>
      <c r="F39">
        <f t="shared" si="2"/>
        <v>49.3</v>
      </c>
      <c r="G39">
        <v>9</v>
      </c>
      <c r="H39">
        <v>8</v>
      </c>
      <c r="I39">
        <v>7</v>
      </c>
      <c r="J39" s="11" t="str">
        <f t="shared" si="3"/>
        <v>3</v>
      </c>
      <c r="K39" s="11">
        <v>5</v>
      </c>
      <c r="N39" s="4">
        <f t="shared" si="1"/>
        <v>2</v>
      </c>
      <c r="O39" s="4"/>
    </row>
    <row r="40" spans="1:15" x14ac:dyDescent="0.3">
      <c r="A40" t="s">
        <v>54</v>
      </c>
      <c r="B40" t="str">
        <f>_xlfn.XLOOKUP(A40,'2020-2023'!$A$2:$A$49,'2020-2023'!$B$2:$B$49,"N/A")</f>
        <v>1380-6653</v>
      </c>
      <c r="C40">
        <v>167</v>
      </c>
      <c r="D40">
        <v>2.4</v>
      </c>
      <c r="E40">
        <v>75</v>
      </c>
      <c r="F40">
        <f t="shared" si="2"/>
        <v>38.700000000000003</v>
      </c>
      <c r="G40">
        <v>16</v>
      </c>
      <c r="H40">
        <v>10</v>
      </c>
      <c r="J40" s="11" t="str">
        <f t="shared" si="3"/>
        <v>2</v>
      </c>
      <c r="K40" s="11">
        <v>5</v>
      </c>
      <c r="N40" s="4">
        <f t="shared" si="1"/>
        <v>3</v>
      </c>
      <c r="O40" s="4"/>
    </row>
    <row r="41" spans="1:15" x14ac:dyDescent="0.3">
      <c r="A41" t="s">
        <v>55</v>
      </c>
      <c r="B41" t="str">
        <f>_xlfn.XLOOKUP(A41,'2020-2023'!$A$2:$A$49,'2020-2023'!$B$2:$B$49,"N/A")</f>
        <v>0034-6527</v>
      </c>
      <c r="C41">
        <v>282</v>
      </c>
      <c r="D41">
        <v>21.63</v>
      </c>
      <c r="E41">
        <v>54.35</v>
      </c>
      <c r="F41">
        <f t="shared" si="2"/>
        <v>37.99</v>
      </c>
      <c r="G41">
        <v>8</v>
      </c>
      <c r="H41">
        <v>10</v>
      </c>
      <c r="I41">
        <v>16</v>
      </c>
      <c r="J41" s="11" t="str">
        <f t="shared" si="3"/>
        <v>2</v>
      </c>
      <c r="K41" s="11">
        <v>5</v>
      </c>
      <c r="N41" s="4">
        <f t="shared" si="1"/>
        <v>3</v>
      </c>
      <c r="O41" s="4"/>
    </row>
    <row r="42" spans="1:15" x14ac:dyDescent="0.3">
      <c r="A42" t="s">
        <v>56</v>
      </c>
      <c r="B42" t="str">
        <f>_xlfn.XLOOKUP(A42,'2020-2023'!$A$2:$A$49,'2020-2023'!$B$2:$B$49,"N/A")</f>
        <v>1875-824X</v>
      </c>
      <c r="C42">
        <v>200</v>
      </c>
      <c r="D42">
        <v>3.5</v>
      </c>
      <c r="E42">
        <v>57.14</v>
      </c>
      <c r="F42">
        <f t="shared" si="2"/>
        <v>30.32</v>
      </c>
      <c r="G42">
        <v>10</v>
      </c>
      <c r="H42">
        <v>8</v>
      </c>
      <c r="I42">
        <v>16</v>
      </c>
      <c r="J42" s="11" t="str">
        <f t="shared" si="3"/>
        <v>2</v>
      </c>
      <c r="K42" s="11">
        <v>5</v>
      </c>
      <c r="N42" s="4">
        <f t="shared" si="1"/>
        <v>3</v>
      </c>
      <c r="O42" s="4"/>
    </row>
    <row r="43" spans="1:15" x14ac:dyDescent="0.3">
      <c r="A43" t="s">
        <v>57</v>
      </c>
      <c r="B43" t="str">
        <f>_xlfn.XLOOKUP(A43,'2020-2023'!$A$2:$A$49,'2020-2023'!$B$2:$B$49,"N/A")</f>
        <v>0893-9454</v>
      </c>
      <c r="C43">
        <v>533</v>
      </c>
      <c r="D43">
        <v>11.82</v>
      </c>
      <c r="E43">
        <v>50</v>
      </c>
      <c r="F43">
        <f t="shared" si="2"/>
        <v>30.91</v>
      </c>
      <c r="G43">
        <v>8</v>
      </c>
      <c r="H43">
        <v>16</v>
      </c>
      <c r="I43">
        <v>9</v>
      </c>
      <c r="J43" s="11" t="str">
        <f t="shared" si="3"/>
        <v>2</v>
      </c>
      <c r="K43" s="11">
        <v>5</v>
      </c>
      <c r="N43" s="4">
        <f t="shared" si="1"/>
        <v>3</v>
      </c>
      <c r="O43" s="4"/>
    </row>
    <row r="44" spans="1:15" x14ac:dyDescent="0.3">
      <c r="A44" t="s">
        <v>58</v>
      </c>
      <c r="B44" t="str">
        <f>_xlfn.XLOOKUP(A44,'2020-2023'!$A$2:$A$49,'2020-2023'!$B$2:$B$49,"N/A")</f>
        <v>1932-4391</v>
      </c>
      <c r="C44">
        <v>115</v>
      </c>
      <c r="D44">
        <v>17.39</v>
      </c>
      <c r="E44">
        <v>57.89</v>
      </c>
      <c r="F44">
        <f t="shared" si="2"/>
        <v>37.64</v>
      </c>
      <c r="G44">
        <v>9</v>
      </c>
      <c r="H44">
        <v>8</v>
      </c>
      <c r="I44">
        <v>5</v>
      </c>
      <c r="J44" s="11" t="str">
        <f t="shared" si="3"/>
        <v>2</v>
      </c>
      <c r="K44" s="11">
        <v>5</v>
      </c>
      <c r="N44" s="4">
        <f t="shared" si="1"/>
        <v>3</v>
      </c>
      <c r="O44" s="4"/>
    </row>
    <row r="45" spans="1:15" x14ac:dyDescent="0.3">
      <c r="A45" t="s">
        <v>59</v>
      </c>
      <c r="B45" t="str">
        <f>_xlfn.XLOOKUP(A45,'2020-2023'!$A$2:$A$49,'2020-2023'!$B$2:$B$49,"N/A")</f>
        <v>1097-0266</v>
      </c>
      <c r="C45">
        <v>465</v>
      </c>
      <c r="D45">
        <v>15.27</v>
      </c>
      <c r="E45">
        <v>46.3</v>
      </c>
      <c r="F45">
        <f t="shared" si="2"/>
        <v>30.784999999999997</v>
      </c>
      <c r="G45">
        <v>9</v>
      </c>
      <c r="H45">
        <v>8</v>
      </c>
      <c r="I45">
        <v>16</v>
      </c>
      <c r="J45" s="11" t="str">
        <f t="shared" si="3"/>
        <v>2</v>
      </c>
      <c r="K45" s="11">
        <v>5</v>
      </c>
      <c r="N45" s="4">
        <f t="shared" si="1"/>
        <v>3</v>
      </c>
      <c r="O45" s="4"/>
    </row>
    <row r="46" spans="1:15" x14ac:dyDescent="0.3">
      <c r="A46" t="s">
        <v>60</v>
      </c>
      <c r="B46" t="str">
        <f>_xlfn.XLOOKUP(A46,'2020-2023'!$A$2:$A$49,'2020-2023'!$B$2:$B$49,"N/A")</f>
        <v>1558-7967</v>
      </c>
      <c r="C46">
        <v>388</v>
      </c>
      <c r="D46">
        <v>6.44</v>
      </c>
      <c r="E46">
        <v>55</v>
      </c>
      <c r="F46">
        <f t="shared" si="2"/>
        <v>30.72</v>
      </c>
      <c r="G46">
        <v>8</v>
      </c>
      <c r="H46">
        <v>16</v>
      </c>
      <c r="I46">
        <v>3</v>
      </c>
      <c r="J46" s="11" t="str">
        <f t="shared" si="3"/>
        <v>2</v>
      </c>
      <c r="K46" s="11">
        <v>5</v>
      </c>
      <c r="N46" s="4">
        <f t="shared" si="1"/>
        <v>3</v>
      </c>
      <c r="O46" s="4"/>
    </row>
    <row r="47" spans="1:15" x14ac:dyDescent="0.3">
      <c r="A47" t="s">
        <v>61</v>
      </c>
      <c r="B47" t="str">
        <f>_xlfn.XLOOKUP(A47,'2020-2023'!$A$2:$A$49,'2020-2023'!$B$2:$B$49,"N/A")</f>
        <v>1540-6261</v>
      </c>
      <c r="C47">
        <v>425</v>
      </c>
      <c r="D47">
        <v>7.06</v>
      </c>
      <c r="E47">
        <v>54.17</v>
      </c>
      <c r="F47">
        <f t="shared" si="2"/>
        <v>30.615000000000002</v>
      </c>
      <c r="G47">
        <v>8</v>
      </c>
      <c r="H47">
        <v>16</v>
      </c>
      <c r="I47">
        <v>3</v>
      </c>
      <c r="J47" s="11" t="str">
        <f t="shared" si="3"/>
        <v>2</v>
      </c>
      <c r="K47" s="11">
        <v>5</v>
      </c>
      <c r="N47" s="4">
        <f t="shared" si="1"/>
        <v>3</v>
      </c>
      <c r="O47" s="4"/>
    </row>
    <row r="48" spans="1:15" x14ac:dyDescent="0.3">
      <c r="A48" s="12" t="s">
        <v>15</v>
      </c>
      <c r="B48" s="12" t="str">
        <f>_xlfn.XLOOKUP(A48,'2020-2023'!$A$2:$A$49,'2020-2023'!$B$2:$B$49,"N/A")</f>
        <v>0823-9150</v>
      </c>
      <c r="C48" s="12">
        <v>397</v>
      </c>
      <c r="D48" s="12">
        <v>51.13</v>
      </c>
      <c r="E48" s="12">
        <v>39.51</v>
      </c>
      <c r="F48" s="12">
        <f t="shared" si="2"/>
        <v>45.32</v>
      </c>
      <c r="G48" s="12">
        <v>8</v>
      </c>
      <c r="H48" s="12">
        <v>16</v>
      </c>
      <c r="I48" s="12">
        <v>17</v>
      </c>
      <c r="J48" s="13" t="str">
        <f t="shared" si="3"/>
        <v>3</v>
      </c>
      <c r="K48" s="13">
        <v>5</v>
      </c>
      <c r="L48" s="12"/>
      <c r="M48" s="12"/>
      <c r="N48" s="14">
        <f t="shared" si="1"/>
        <v>2</v>
      </c>
      <c r="O48" s="4"/>
    </row>
    <row r="49" spans="1:15" x14ac:dyDescent="0.3">
      <c r="A49" s="12" t="s">
        <v>16</v>
      </c>
      <c r="B49" s="12" t="str">
        <f>_xlfn.XLOOKUP(A49,'2020-2023'!$A$2:$A$49,'2020-2023'!$B$2:$B$49,"N/A")</f>
        <v>0090-4848</v>
      </c>
      <c r="C49" s="12">
        <v>287</v>
      </c>
      <c r="D49" s="12">
        <v>69.34</v>
      </c>
      <c r="E49" s="12">
        <v>72.19</v>
      </c>
      <c r="F49" s="12">
        <f t="shared" si="2"/>
        <v>70.765000000000001</v>
      </c>
      <c r="G49" s="12">
        <v>8</v>
      </c>
      <c r="H49" s="12">
        <v>5</v>
      </c>
      <c r="I49" s="12">
        <v>13</v>
      </c>
      <c r="J49" s="13" t="str">
        <f t="shared" si="3"/>
        <v>4</v>
      </c>
      <c r="K49" s="13">
        <v>5</v>
      </c>
      <c r="L49" s="12"/>
      <c r="M49" s="12"/>
      <c r="N49" s="14">
        <f t="shared" si="1"/>
        <v>1</v>
      </c>
      <c r="O49" s="4"/>
    </row>
    <row r="50" spans="1:15" x14ac:dyDescent="0.3">
      <c r="J50" s="11"/>
      <c r="K50" s="11"/>
      <c r="N50" s="4"/>
      <c r="O50" s="4"/>
    </row>
    <row r="51" spans="1:15" x14ac:dyDescent="0.3">
      <c r="J51" s="11"/>
      <c r="K51" s="11"/>
      <c r="N51" s="4"/>
      <c r="O51" s="4"/>
    </row>
    <row r="52" spans="1:15" x14ac:dyDescent="0.3">
      <c r="J52" s="11"/>
      <c r="K52" s="11"/>
      <c r="N52" s="4"/>
      <c r="O52" s="4"/>
    </row>
    <row r="53" spans="1:15" x14ac:dyDescent="0.3">
      <c r="J53" s="11"/>
      <c r="K53" s="11"/>
      <c r="N53" s="4"/>
      <c r="O53" s="4"/>
    </row>
    <row r="54" spans="1:15" x14ac:dyDescent="0.3">
      <c r="J54" s="11"/>
      <c r="K54" s="11"/>
      <c r="N54" s="4"/>
      <c r="O54" s="4"/>
    </row>
    <row r="55" spans="1:15" x14ac:dyDescent="0.3">
      <c r="J55" s="11"/>
      <c r="K55" s="11"/>
      <c r="N55" s="4"/>
      <c r="O55" s="4"/>
    </row>
    <row r="56" spans="1:15" x14ac:dyDescent="0.3">
      <c r="J56" s="11"/>
      <c r="K56" s="11"/>
      <c r="N56" s="4"/>
      <c r="O56" s="4"/>
    </row>
    <row r="57" spans="1:15" x14ac:dyDescent="0.3">
      <c r="J57" s="11"/>
      <c r="K57" s="11"/>
      <c r="N57" s="4"/>
      <c r="O57" s="4"/>
    </row>
    <row r="58" spans="1:15" x14ac:dyDescent="0.3">
      <c r="J58" s="11"/>
      <c r="K58" s="11"/>
      <c r="N58" s="4"/>
      <c r="O58" s="4"/>
    </row>
    <row r="59" spans="1:15" x14ac:dyDescent="0.3">
      <c r="J59" s="11"/>
      <c r="K59" s="11"/>
      <c r="N59" s="4"/>
      <c r="O59" s="4"/>
    </row>
    <row r="60" spans="1:15" x14ac:dyDescent="0.3">
      <c r="J60" s="11"/>
      <c r="K60" s="11"/>
      <c r="N60" s="4"/>
      <c r="O60" s="4"/>
    </row>
    <row r="61" spans="1:15" x14ac:dyDescent="0.3">
      <c r="J61" s="11"/>
      <c r="K61" s="11"/>
      <c r="N61" s="4"/>
      <c r="O61" s="4"/>
    </row>
    <row r="62" spans="1:15" x14ac:dyDescent="0.3">
      <c r="J62" s="11"/>
      <c r="K62" s="11"/>
      <c r="N62" s="4"/>
      <c r="O62" s="4"/>
    </row>
    <row r="63" spans="1:15" x14ac:dyDescent="0.3">
      <c r="J63" s="11"/>
      <c r="K63" s="11"/>
      <c r="N63" s="4"/>
      <c r="O63" s="4"/>
    </row>
    <row r="64" spans="1:15" x14ac:dyDescent="0.3">
      <c r="J64" s="11"/>
      <c r="K64" s="11"/>
      <c r="N64" s="4"/>
      <c r="O64" s="4"/>
    </row>
    <row r="65" spans="10:15" x14ac:dyDescent="0.3">
      <c r="J65" s="11"/>
      <c r="K65" s="11"/>
      <c r="N65" s="4"/>
      <c r="O65" s="4"/>
    </row>
    <row r="66" spans="10:15" x14ac:dyDescent="0.3">
      <c r="J66" s="11"/>
      <c r="K66" s="11"/>
      <c r="N66" s="4"/>
      <c r="O66" s="4"/>
    </row>
    <row r="67" spans="10:15" x14ac:dyDescent="0.3">
      <c r="J67" s="11"/>
      <c r="K67" s="11"/>
      <c r="N67" s="4"/>
      <c r="O67" s="4"/>
    </row>
    <row r="68" spans="10:15" x14ac:dyDescent="0.3">
      <c r="J68" s="11"/>
      <c r="K68" s="11"/>
      <c r="L68" s="11"/>
      <c r="N68" s="4"/>
      <c r="O68" s="4"/>
    </row>
    <row r="69" spans="10:15" x14ac:dyDescent="0.3">
      <c r="J69" s="11"/>
      <c r="K69" s="11"/>
      <c r="L69" s="11"/>
      <c r="N69" s="4"/>
      <c r="O69" s="4"/>
    </row>
    <row r="70" spans="10:15" x14ac:dyDescent="0.3">
      <c r="J70" s="11"/>
      <c r="K70" s="11"/>
      <c r="N70" s="4"/>
      <c r="O70" s="4"/>
    </row>
    <row r="71" spans="10:15" x14ac:dyDescent="0.3">
      <c r="J71" s="11"/>
      <c r="K71" s="11"/>
      <c r="N71" s="4"/>
      <c r="O71" s="4"/>
    </row>
    <row r="72" spans="10:15" x14ac:dyDescent="0.3">
      <c r="J72" s="11"/>
      <c r="K72" s="11"/>
      <c r="N72" s="4"/>
      <c r="O72" s="4"/>
    </row>
    <row r="73" spans="10:15" x14ac:dyDescent="0.3">
      <c r="J73" s="11"/>
      <c r="K73" s="11"/>
      <c r="N73" s="4"/>
      <c r="O73" s="4"/>
    </row>
    <row r="74" spans="10:15" x14ac:dyDescent="0.3">
      <c r="J74" s="11"/>
      <c r="K74" s="11"/>
      <c r="N74" s="4"/>
      <c r="O74" s="4"/>
    </row>
    <row r="75" spans="10:15" x14ac:dyDescent="0.3">
      <c r="J75" s="11"/>
      <c r="K75" s="11"/>
      <c r="N75" s="4"/>
      <c r="O75" s="4"/>
    </row>
    <row r="76" spans="10:15" x14ac:dyDescent="0.3">
      <c r="J76" s="11"/>
      <c r="K76" s="11"/>
      <c r="N76" s="4"/>
      <c r="O76" s="4"/>
    </row>
    <row r="77" spans="10:15" x14ac:dyDescent="0.3">
      <c r="J77" s="11"/>
      <c r="K77" s="11"/>
      <c r="N77" s="4"/>
      <c r="O77" s="4"/>
    </row>
    <row r="78" spans="10:15" x14ac:dyDescent="0.3">
      <c r="J78" s="11"/>
      <c r="K78" s="11"/>
      <c r="N78" s="4"/>
      <c r="O78" s="4"/>
    </row>
    <row r="79" spans="10:15" x14ac:dyDescent="0.3">
      <c r="J79" s="11"/>
      <c r="K79" s="11"/>
      <c r="N79" s="4"/>
      <c r="O79" s="4"/>
    </row>
    <row r="80" spans="10:15" x14ac:dyDescent="0.3">
      <c r="J80" s="11"/>
      <c r="K80" s="11"/>
      <c r="N80" s="4"/>
      <c r="O80" s="4"/>
    </row>
    <row r="81" spans="10:15" x14ac:dyDescent="0.3">
      <c r="J81" s="11"/>
      <c r="K81" s="11"/>
      <c r="L81" s="11"/>
      <c r="N81" s="4"/>
      <c r="O81" s="4"/>
    </row>
    <row r="82" spans="10:15" x14ac:dyDescent="0.3">
      <c r="J82" s="11"/>
      <c r="K82" s="11"/>
      <c r="L82" s="11"/>
      <c r="N82" s="4"/>
      <c r="O82" s="4"/>
    </row>
    <row r="83" spans="10:15" x14ac:dyDescent="0.3">
      <c r="J83" s="11"/>
      <c r="K83" s="11"/>
      <c r="L83" s="11"/>
      <c r="N83" s="4"/>
    </row>
    <row r="84" spans="10:15" x14ac:dyDescent="0.3">
      <c r="J84" s="11"/>
      <c r="K84" s="11"/>
      <c r="L84" s="11"/>
      <c r="N84" s="4"/>
    </row>
    <row r="85" spans="10:15" x14ac:dyDescent="0.3">
      <c r="J85" s="11"/>
      <c r="K85" s="11"/>
      <c r="L85" s="11"/>
      <c r="N85" s="4"/>
    </row>
    <row r="86" spans="10:15" x14ac:dyDescent="0.3">
      <c r="J86" s="11"/>
      <c r="K86" s="11"/>
      <c r="L86" s="11"/>
      <c r="N86" s="4"/>
    </row>
    <row r="87" spans="10:15" x14ac:dyDescent="0.3">
      <c r="J87" s="11"/>
      <c r="K87" s="11"/>
      <c r="N87" s="4"/>
    </row>
    <row r="88" spans="10:15" x14ac:dyDescent="0.3">
      <c r="J88" s="11"/>
      <c r="K88" s="11"/>
      <c r="N88" s="4"/>
    </row>
    <row r="89" spans="10:15" x14ac:dyDescent="0.3">
      <c r="J89" s="11"/>
      <c r="K89" s="11"/>
      <c r="N89" s="4"/>
    </row>
    <row r="90" spans="10:15" x14ac:dyDescent="0.3">
      <c r="J90" s="11"/>
      <c r="K90" s="11"/>
      <c r="N90" s="4"/>
    </row>
    <row r="91" spans="10:15" x14ac:dyDescent="0.3">
      <c r="J91" s="11"/>
      <c r="K91" s="11"/>
      <c r="N91" s="4"/>
    </row>
    <row r="92" spans="10:15" x14ac:dyDescent="0.3">
      <c r="J92" s="11"/>
      <c r="K92" s="11"/>
      <c r="N92" s="4"/>
    </row>
    <row r="93" spans="10:15" x14ac:dyDescent="0.3">
      <c r="J93" s="11"/>
      <c r="K93" s="11"/>
      <c r="N93" s="4"/>
    </row>
    <row r="94" spans="10:15" x14ac:dyDescent="0.3">
      <c r="J94" s="11"/>
      <c r="K94" s="11"/>
      <c r="N94" s="4"/>
    </row>
    <row r="95" spans="10:15" x14ac:dyDescent="0.3">
      <c r="J95" s="11"/>
      <c r="K95" s="11"/>
      <c r="N95" s="4"/>
    </row>
    <row r="96" spans="10:15" x14ac:dyDescent="0.3">
      <c r="J96" s="11"/>
      <c r="K96" s="11"/>
      <c r="N96" s="4"/>
    </row>
    <row r="97" spans="10:14" x14ac:dyDescent="0.3">
      <c r="J97" s="11"/>
      <c r="K97" s="11"/>
      <c r="N97" s="4"/>
    </row>
    <row r="98" spans="10:14" x14ac:dyDescent="0.3">
      <c r="J98" s="11"/>
      <c r="K98" s="11"/>
      <c r="N98" s="4"/>
    </row>
    <row r="99" spans="10:14" x14ac:dyDescent="0.3">
      <c r="J99" s="11"/>
      <c r="K99" s="11"/>
      <c r="N99" s="4"/>
    </row>
    <row r="100" spans="10:14" x14ac:dyDescent="0.3">
      <c r="J100" s="11"/>
      <c r="K100" s="11"/>
      <c r="N100" s="4"/>
    </row>
    <row r="101" spans="10:14" x14ac:dyDescent="0.3">
      <c r="J101" s="11"/>
      <c r="K101" s="11"/>
      <c r="N101" s="4"/>
    </row>
    <row r="102" spans="10:14" x14ac:dyDescent="0.3">
      <c r="J102" s="11"/>
      <c r="K102" s="11"/>
      <c r="N102" s="4"/>
    </row>
    <row r="103" spans="10:14" x14ac:dyDescent="0.3">
      <c r="J103" s="11"/>
      <c r="K103" s="11"/>
      <c r="N103" s="4"/>
    </row>
    <row r="104" spans="10:14" x14ac:dyDescent="0.3">
      <c r="J104" s="11"/>
      <c r="K104" s="11"/>
      <c r="N104" s="4"/>
    </row>
    <row r="105" spans="10:14" x14ac:dyDescent="0.3">
      <c r="J105" s="11"/>
      <c r="K105" s="11"/>
      <c r="N105" s="4"/>
    </row>
    <row r="106" spans="10:14" x14ac:dyDescent="0.3">
      <c r="J106" s="11"/>
      <c r="K106" s="11"/>
      <c r="N106" s="4"/>
    </row>
    <row r="107" spans="10:14" x14ac:dyDescent="0.3">
      <c r="J107" s="11"/>
      <c r="K107" s="11"/>
      <c r="N107" s="4"/>
    </row>
    <row r="108" spans="10:14" x14ac:dyDescent="0.3">
      <c r="J108" s="11"/>
      <c r="K108" s="11"/>
      <c r="N108" s="4"/>
    </row>
    <row r="109" spans="10:14" x14ac:dyDescent="0.3">
      <c r="J109" s="11"/>
      <c r="K109" s="11"/>
      <c r="N109" s="4"/>
    </row>
    <row r="110" spans="10:14" x14ac:dyDescent="0.3">
      <c r="J110" s="11"/>
      <c r="K110" s="11"/>
      <c r="N110" s="4"/>
    </row>
    <row r="111" spans="10:14" x14ac:dyDescent="0.3">
      <c r="J111" s="11"/>
      <c r="K111" s="11"/>
      <c r="N111" s="4"/>
    </row>
    <row r="112" spans="10:14" x14ac:dyDescent="0.3">
      <c r="J112" s="11"/>
      <c r="K112" s="11"/>
      <c r="N112" s="4"/>
    </row>
    <row r="113" spans="10:14" x14ac:dyDescent="0.3">
      <c r="J113" s="11"/>
      <c r="K113" s="11"/>
      <c r="N113" s="4"/>
    </row>
    <row r="114" spans="10:14" x14ac:dyDescent="0.3">
      <c r="J114" s="11"/>
      <c r="K114" s="11"/>
      <c r="N114" s="4"/>
    </row>
    <row r="115" spans="10:14" x14ac:dyDescent="0.3">
      <c r="J115" s="11"/>
      <c r="K115" s="11"/>
      <c r="N115" s="4"/>
    </row>
    <row r="116" spans="10:14" x14ac:dyDescent="0.3">
      <c r="J116" s="11"/>
      <c r="K116" s="11"/>
      <c r="N116" s="4"/>
    </row>
    <row r="117" spans="10:14" x14ac:dyDescent="0.3">
      <c r="J117" s="11"/>
      <c r="K117" s="11"/>
      <c r="N117" s="4"/>
    </row>
    <row r="118" spans="10:14" x14ac:dyDescent="0.3">
      <c r="J118" s="11"/>
      <c r="K118" s="11"/>
      <c r="N118" s="4"/>
    </row>
    <row r="119" spans="10:14" x14ac:dyDescent="0.3">
      <c r="J119" s="11"/>
      <c r="K119" s="11"/>
      <c r="N119" s="4"/>
    </row>
    <row r="120" spans="10:14" x14ac:dyDescent="0.3">
      <c r="J120" s="11"/>
      <c r="K120" s="11"/>
      <c r="N120" s="4"/>
    </row>
    <row r="121" spans="10:14" x14ac:dyDescent="0.3">
      <c r="J121" s="11"/>
      <c r="K121" s="11"/>
      <c r="N121" s="4"/>
    </row>
    <row r="122" spans="10:14" x14ac:dyDescent="0.3">
      <c r="J122" s="11"/>
      <c r="K122" s="11"/>
      <c r="N122" s="4"/>
    </row>
    <row r="123" spans="10:14" x14ac:dyDescent="0.3">
      <c r="J123" s="11"/>
      <c r="K123" s="11"/>
      <c r="N123" s="4"/>
    </row>
    <row r="124" spans="10:14" x14ac:dyDescent="0.3">
      <c r="J124" s="11"/>
      <c r="K124" s="11"/>
      <c r="N124" s="4"/>
    </row>
    <row r="125" spans="10:14" x14ac:dyDescent="0.3">
      <c r="J125" s="11"/>
      <c r="K125" s="11"/>
      <c r="N125" s="4"/>
    </row>
    <row r="126" spans="10:14" x14ac:dyDescent="0.3">
      <c r="J126" s="11"/>
      <c r="K126" s="11"/>
      <c r="N126" s="4"/>
    </row>
    <row r="127" spans="10:14" x14ac:dyDescent="0.3">
      <c r="J127" s="11"/>
      <c r="K127" s="11"/>
      <c r="N127" s="4"/>
    </row>
    <row r="128" spans="10:14" x14ac:dyDescent="0.3">
      <c r="J128" s="11"/>
      <c r="K128" s="11"/>
      <c r="N128" s="4"/>
    </row>
    <row r="129" spans="10:14" x14ac:dyDescent="0.3">
      <c r="J129" s="11"/>
      <c r="K129" s="11"/>
      <c r="N129" s="4"/>
    </row>
    <row r="130" spans="10:14" x14ac:dyDescent="0.3">
      <c r="J130" s="11"/>
      <c r="K130" s="11"/>
      <c r="N130" s="4"/>
    </row>
    <row r="131" spans="10:14" x14ac:dyDescent="0.3">
      <c r="J131" s="11"/>
      <c r="K131" s="11"/>
      <c r="N131" s="4"/>
    </row>
    <row r="132" spans="10:14" x14ac:dyDescent="0.3">
      <c r="J132" s="11"/>
      <c r="K132" s="11"/>
      <c r="N132" s="4"/>
    </row>
    <row r="133" spans="10:14" x14ac:dyDescent="0.3">
      <c r="J133" s="11"/>
      <c r="K133" s="11"/>
      <c r="N133" s="4"/>
    </row>
    <row r="134" spans="10:14" x14ac:dyDescent="0.3">
      <c r="J134" s="11"/>
      <c r="K134" s="11"/>
      <c r="N134" s="4"/>
    </row>
    <row r="135" spans="10:14" x14ac:dyDescent="0.3">
      <c r="J135" s="11"/>
      <c r="K135" s="11"/>
      <c r="N135" s="4"/>
    </row>
    <row r="136" spans="10:14" x14ac:dyDescent="0.3">
      <c r="J136" s="11"/>
      <c r="K136" s="11"/>
      <c r="N136" s="4"/>
    </row>
    <row r="137" spans="10:14" x14ac:dyDescent="0.3">
      <c r="J137" s="11"/>
      <c r="K137" s="11"/>
      <c r="N137" s="4"/>
    </row>
    <row r="138" spans="10:14" x14ac:dyDescent="0.3">
      <c r="J138" s="11"/>
      <c r="K138" s="11"/>
      <c r="N138" s="4"/>
    </row>
    <row r="139" spans="10:14" x14ac:dyDescent="0.3">
      <c r="J139" s="11"/>
      <c r="K139" s="11"/>
      <c r="N139" s="4"/>
    </row>
    <row r="140" spans="10:14" x14ac:dyDescent="0.3">
      <c r="J140" s="11"/>
      <c r="K140" s="11"/>
      <c r="N140" s="4"/>
    </row>
    <row r="141" spans="10:14" x14ac:dyDescent="0.3">
      <c r="J141" s="11"/>
      <c r="K141" s="11"/>
      <c r="N141" s="4"/>
    </row>
    <row r="142" spans="10:14" x14ac:dyDescent="0.3">
      <c r="J142" s="11"/>
      <c r="K142" s="11"/>
      <c r="N142" s="4"/>
    </row>
    <row r="143" spans="10:14" x14ac:dyDescent="0.3">
      <c r="J143" s="11"/>
      <c r="K143" s="11"/>
      <c r="N143" s="4"/>
    </row>
    <row r="144" spans="10:14" x14ac:dyDescent="0.3">
      <c r="J144" s="11"/>
      <c r="K144" s="11"/>
      <c r="N144" s="4"/>
    </row>
    <row r="145" spans="10:14" x14ac:dyDescent="0.3">
      <c r="J145" s="11"/>
      <c r="K145" s="11"/>
      <c r="N145" s="4"/>
    </row>
    <row r="146" spans="10:14" x14ac:dyDescent="0.3">
      <c r="J146" s="11"/>
      <c r="K146" s="11"/>
      <c r="L146" s="11"/>
      <c r="N146" s="4"/>
    </row>
    <row r="147" spans="10:14" x14ac:dyDescent="0.3">
      <c r="J147" s="11"/>
      <c r="K147" s="11"/>
      <c r="L147" s="11"/>
      <c r="N147" s="4"/>
    </row>
    <row r="148" spans="10:14" x14ac:dyDescent="0.3">
      <c r="J148" s="11"/>
      <c r="K148" s="11"/>
      <c r="L148" s="11"/>
      <c r="N148" s="4"/>
    </row>
    <row r="149" spans="10:14" x14ac:dyDescent="0.3">
      <c r="J149" s="11"/>
      <c r="K149" s="11"/>
      <c r="L149" s="11"/>
      <c r="N149" s="4"/>
    </row>
    <row r="150" spans="10:14" x14ac:dyDescent="0.3">
      <c r="J150" s="11"/>
      <c r="K150" s="11"/>
      <c r="N150" s="4"/>
    </row>
    <row r="151" spans="10:14" x14ac:dyDescent="0.3">
      <c r="J151" s="11"/>
      <c r="K151" s="11"/>
      <c r="N151" s="4"/>
    </row>
    <row r="152" spans="10:14" x14ac:dyDescent="0.3">
      <c r="J152" s="11"/>
      <c r="K152" s="11"/>
      <c r="N152" s="4"/>
    </row>
    <row r="153" spans="10:14" x14ac:dyDescent="0.3">
      <c r="J153" s="11"/>
      <c r="K153" s="11"/>
      <c r="N153" s="4"/>
    </row>
    <row r="154" spans="10:14" x14ac:dyDescent="0.3">
      <c r="J154" s="11"/>
      <c r="K154" s="11"/>
      <c r="N154" s="4"/>
    </row>
    <row r="155" spans="10:14" x14ac:dyDescent="0.3">
      <c r="J155" s="11"/>
      <c r="K155" s="11"/>
      <c r="N155" s="4"/>
    </row>
    <row r="156" spans="10:14" x14ac:dyDescent="0.3">
      <c r="J156" s="11"/>
      <c r="K156" s="11"/>
      <c r="N156" s="4"/>
    </row>
    <row r="157" spans="10:14" x14ac:dyDescent="0.3">
      <c r="J157" s="11"/>
      <c r="K157" s="11"/>
      <c r="N157" s="4"/>
    </row>
    <row r="158" spans="10:14" x14ac:dyDescent="0.3">
      <c r="J158" s="11"/>
      <c r="K158" s="11"/>
      <c r="N158" s="4"/>
    </row>
    <row r="159" spans="10:14" x14ac:dyDescent="0.3">
      <c r="J159" s="11"/>
      <c r="K159" s="11"/>
      <c r="N159" s="4"/>
    </row>
    <row r="160" spans="10:14" x14ac:dyDescent="0.3">
      <c r="J160" s="11"/>
      <c r="K160" s="11"/>
      <c r="N160" s="4"/>
    </row>
    <row r="161" spans="10:14" x14ac:dyDescent="0.3">
      <c r="J161" s="11"/>
      <c r="K161" s="11"/>
      <c r="N161" s="4"/>
    </row>
    <row r="162" spans="10:14" x14ac:dyDescent="0.3">
      <c r="J162" s="11"/>
      <c r="K162" s="11"/>
      <c r="L162" s="11"/>
      <c r="N162" s="4"/>
    </row>
    <row r="163" spans="10:14" x14ac:dyDescent="0.3">
      <c r="J163" s="11"/>
      <c r="K163" s="11"/>
      <c r="L163" s="11"/>
      <c r="N163" s="4"/>
    </row>
    <row r="164" spans="10:14" x14ac:dyDescent="0.3">
      <c r="J164" s="11"/>
      <c r="K164" s="11"/>
      <c r="L164" s="11"/>
      <c r="N164" s="4"/>
    </row>
    <row r="165" spans="10:14" x14ac:dyDescent="0.3">
      <c r="J165" s="11"/>
      <c r="K165" s="11"/>
      <c r="N165" s="4"/>
    </row>
    <row r="166" spans="10:14" x14ac:dyDescent="0.3">
      <c r="J166" s="11"/>
      <c r="K166" s="11"/>
      <c r="N166" s="4"/>
    </row>
    <row r="167" spans="10:14" x14ac:dyDescent="0.3">
      <c r="J167" s="11"/>
      <c r="K167" s="11"/>
      <c r="N167" s="4"/>
    </row>
    <row r="168" spans="10:14" x14ac:dyDescent="0.3">
      <c r="J168" s="11"/>
      <c r="K168" s="11"/>
      <c r="N168" s="4"/>
    </row>
    <row r="169" spans="10:14" x14ac:dyDescent="0.3">
      <c r="J169" s="11"/>
      <c r="K169" s="11"/>
      <c r="N169" s="4"/>
    </row>
    <row r="170" spans="10:14" x14ac:dyDescent="0.3">
      <c r="J170" s="11"/>
      <c r="K170" s="11"/>
      <c r="N170" s="4"/>
    </row>
    <row r="171" spans="10:14" x14ac:dyDescent="0.3">
      <c r="J171" s="11"/>
      <c r="K171" s="11"/>
      <c r="N171" s="4"/>
    </row>
    <row r="172" spans="10:14" x14ac:dyDescent="0.3">
      <c r="J172" s="11"/>
      <c r="K172" s="11"/>
      <c r="N172" s="4"/>
    </row>
    <row r="173" spans="10:14" x14ac:dyDescent="0.3">
      <c r="J173" s="11"/>
      <c r="K173" s="11"/>
      <c r="N173" s="4"/>
    </row>
    <row r="174" spans="10:14" x14ac:dyDescent="0.3">
      <c r="J174" s="11"/>
      <c r="K174" s="11"/>
      <c r="N174" s="4"/>
    </row>
    <row r="175" spans="10:14" x14ac:dyDescent="0.3">
      <c r="J175" s="11"/>
      <c r="K175" s="11"/>
      <c r="N175" s="4"/>
    </row>
    <row r="176" spans="10:14" x14ac:dyDescent="0.3">
      <c r="J176" s="11"/>
      <c r="K176" s="11"/>
      <c r="N176" s="4"/>
    </row>
    <row r="177" spans="10:14" x14ac:dyDescent="0.3">
      <c r="J177" s="11"/>
      <c r="K177" s="11"/>
      <c r="N177" s="4"/>
    </row>
    <row r="178" spans="10:14" x14ac:dyDescent="0.3">
      <c r="J178" s="11"/>
      <c r="K178" s="11"/>
      <c r="N178" s="4"/>
    </row>
    <row r="179" spans="10:14" x14ac:dyDescent="0.3">
      <c r="J179" s="11"/>
      <c r="K179" s="11"/>
      <c r="N179" s="4"/>
    </row>
    <row r="180" spans="10:14" x14ac:dyDescent="0.3">
      <c r="J180" s="11"/>
      <c r="K180" s="11"/>
      <c r="N180" s="4"/>
    </row>
    <row r="181" spans="10:14" x14ac:dyDescent="0.3">
      <c r="J181" s="11"/>
      <c r="K181" s="11"/>
      <c r="N181" s="4"/>
    </row>
    <row r="182" spans="10:14" x14ac:dyDescent="0.3">
      <c r="J182" s="11"/>
      <c r="K182" s="11"/>
      <c r="N182" s="4"/>
    </row>
    <row r="183" spans="10:14" x14ac:dyDescent="0.3">
      <c r="J183" s="11"/>
      <c r="K183" s="11"/>
      <c r="N183" s="4"/>
    </row>
    <row r="184" spans="10:14" x14ac:dyDescent="0.3">
      <c r="J184" s="11"/>
      <c r="K184" s="11"/>
      <c r="N184" s="4"/>
    </row>
    <row r="185" spans="10:14" x14ac:dyDescent="0.3">
      <c r="J185" s="11"/>
      <c r="K185" s="11"/>
      <c r="N185" s="4"/>
    </row>
    <row r="186" spans="10:14" x14ac:dyDescent="0.3">
      <c r="J186" s="11"/>
      <c r="K186" s="11"/>
      <c r="N186" s="4"/>
    </row>
    <row r="187" spans="10:14" x14ac:dyDescent="0.3">
      <c r="J187" s="11"/>
      <c r="K187" s="11"/>
      <c r="N187" s="4"/>
    </row>
    <row r="188" spans="10:14" x14ac:dyDescent="0.3">
      <c r="J188" s="11"/>
      <c r="K188" s="11"/>
      <c r="N188" s="4"/>
    </row>
    <row r="189" spans="10:14" x14ac:dyDescent="0.3">
      <c r="J189" s="11"/>
      <c r="K189" s="11"/>
      <c r="N189" s="4"/>
    </row>
    <row r="190" spans="10:14" x14ac:dyDescent="0.3">
      <c r="J190" s="11"/>
      <c r="K190" s="11"/>
      <c r="N190" s="4"/>
    </row>
    <row r="191" spans="10:14" x14ac:dyDescent="0.3">
      <c r="J191" s="11"/>
      <c r="K191" s="11"/>
      <c r="N191" s="4"/>
    </row>
    <row r="192" spans="10:14" x14ac:dyDescent="0.3">
      <c r="J192" s="11"/>
      <c r="K192" s="11"/>
      <c r="N192" s="4"/>
    </row>
    <row r="193" spans="10:14" x14ac:dyDescent="0.3">
      <c r="J193" s="11"/>
      <c r="K193" s="11"/>
      <c r="N193" s="4"/>
    </row>
    <row r="194" spans="10:14" x14ac:dyDescent="0.3">
      <c r="J194" s="11"/>
      <c r="K194" s="11"/>
      <c r="L194" s="11"/>
      <c r="N194" s="4"/>
    </row>
    <row r="195" spans="10:14" x14ac:dyDescent="0.3">
      <c r="J195" s="11"/>
      <c r="K195" s="11"/>
      <c r="N195" s="4"/>
    </row>
    <row r="196" spans="10:14" x14ac:dyDescent="0.3">
      <c r="J196" s="11"/>
      <c r="K196" s="11"/>
      <c r="N196" s="4"/>
    </row>
    <row r="197" spans="10:14" x14ac:dyDescent="0.3">
      <c r="J197" s="11"/>
      <c r="K197" s="11"/>
      <c r="N197" s="4"/>
    </row>
    <row r="198" spans="10:14" x14ac:dyDescent="0.3">
      <c r="J198" s="11"/>
      <c r="K198" s="11"/>
      <c r="N198" s="4"/>
    </row>
    <row r="199" spans="10:14" x14ac:dyDescent="0.3">
      <c r="J199" s="11"/>
      <c r="K199" s="11"/>
      <c r="N199" s="4"/>
    </row>
    <row r="200" spans="10:14" x14ac:dyDescent="0.3">
      <c r="J200" s="11"/>
      <c r="K200" s="11"/>
      <c r="N200" s="4"/>
    </row>
    <row r="201" spans="10:14" x14ac:dyDescent="0.3">
      <c r="J201" s="11"/>
      <c r="K201" s="11"/>
      <c r="N201" s="4"/>
    </row>
  </sheetData>
  <autoFilter ref="A1:N1" xr:uid="{15D91737-F968-4E4F-A01E-337200C1E7C8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1737-F968-4E4F-A01E-337200C1E7C8}">
  <dimension ref="A1:AD201"/>
  <sheetViews>
    <sheetView topLeftCell="A38" zoomScale="127" zoomScaleNormal="127" workbookViewId="0">
      <pane xSplit="1" topLeftCell="K1" activePane="topRight" state="frozen"/>
      <selection pane="topRight" activeCell="A48" sqref="A48:N49"/>
    </sheetView>
  </sheetViews>
  <sheetFormatPr defaultColWidth="10.796875" defaultRowHeight="15.6" x14ac:dyDescent="0.3"/>
  <cols>
    <col min="1" max="1" width="75.5" bestFit="1" customWidth="1"/>
    <col min="3" max="5" width="10.796875" customWidth="1"/>
    <col min="6" max="9" width="20.296875" customWidth="1"/>
    <col min="10" max="10" width="26.19921875" bestFit="1" customWidth="1"/>
    <col min="11" max="11" width="25.69921875" customWidth="1"/>
    <col min="12" max="12" width="10.796875" hidden="1" customWidth="1"/>
    <col min="13" max="13" width="9.69921875" hidden="1" customWidth="1"/>
    <col min="14" max="14" width="10.796875" customWidth="1"/>
    <col min="15" max="15" width="11.796875" bestFit="1" customWidth="1"/>
    <col min="17" max="18" width="11.59765625" bestFit="1" customWidth="1"/>
  </cols>
  <sheetData>
    <row r="1" spans="1:30" s="5" customFormat="1" ht="31.2" x14ac:dyDescent="0.3">
      <c r="A1" t="s">
        <v>11</v>
      </c>
      <c r="B1" t="s">
        <v>0</v>
      </c>
      <c r="C1" t="s">
        <v>7</v>
      </c>
      <c r="D1" t="s">
        <v>8</v>
      </c>
      <c r="E1" t="s">
        <v>9</v>
      </c>
      <c r="F1" s="8" t="s">
        <v>3</v>
      </c>
      <c r="G1" t="s">
        <v>12</v>
      </c>
      <c r="H1" t="s">
        <v>13</v>
      </c>
      <c r="I1" t="s">
        <v>14</v>
      </c>
      <c r="J1" s="6" t="s">
        <v>5</v>
      </c>
      <c r="K1" s="9" t="s">
        <v>2</v>
      </c>
      <c r="L1" s="5" t="s">
        <v>1</v>
      </c>
      <c r="M1" s="5" t="s">
        <v>4</v>
      </c>
      <c r="N1" s="5" t="s">
        <v>10</v>
      </c>
      <c r="P1" s="1">
        <v>1.2</v>
      </c>
      <c r="Q1" s="2">
        <f>0.5</f>
        <v>0.5</v>
      </c>
      <c r="R1" s="2">
        <f>1-Q1</f>
        <v>0.5</v>
      </c>
      <c r="S1" s="3">
        <f>Q1+R1</f>
        <v>1</v>
      </c>
      <c r="U1" s="2">
        <v>80</v>
      </c>
      <c r="V1" s="2">
        <v>60</v>
      </c>
      <c r="W1" s="2">
        <v>40</v>
      </c>
      <c r="X1" s="2">
        <v>20</v>
      </c>
      <c r="Y1" s="2">
        <v>0</v>
      </c>
      <c r="Z1" s="2">
        <v>0</v>
      </c>
      <c r="AA1" s="5" t="s">
        <v>6</v>
      </c>
      <c r="AB1" s="7">
        <f>COUNTIF(N2:N49,"&lt;2")/COUNT(N2:N49)</f>
        <v>2.0833333333333332E-2</v>
      </c>
      <c r="AC1" s="10"/>
      <c r="AD1" s="7"/>
    </row>
    <row r="2" spans="1:30" x14ac:dyDescent="0.3">
      <c r="A2" t="s">
        <v>17</v>
      </c>
      <c r="B2" t="s">
        <v>72</v>
      </c>
      <c r="C2">
        <v>300</v>
      </c>
      <c r="D2">
        <v>8.67</v>
      </c>
      <c r="E2">
        <v>50</v>
      </c>
      <c r="F2">
        <f>$Q$1*D2+$R$1*E2</f>
        <v>29.335000000000001</v>
      </c>
      <c r="G2">
        <v>3</v>
      </c>
      <c r="H2">
        <v>8</v>
      </c>
      <c r="I2">
        <v>16</v>
      </c>
      <c r="J2" s="11" t="str">
        <f>IF(F2&gt;$U$1,"5",IF(F2&gt;$V$1,"4",IF(F2&gt;$W$1,"3",IF(F2&gt;$X$1,"2",IF(F2&gt;$Y$1,"1",IF(F2&gt;$Z$1,"0"))))))</f>
        <v>2</v>
      </c>
      <c r="K2" s="11">
        <v>5</v>
      </c>
      <c r="N2" s="4">
        <f t="shared" ref="N2:N33" si="0">ABS(J2-K2)</f>
        <v>3</v>
      </c>
      <c r="O2" s="4"/>
    </row>
    <row r="3" spans="1:30" x14ac:dyDescent="0.3">
      <c r="A3" t="s">
        <v>18</v>
      </c>
      <c r="B3" t="s">
        <v>73</v>
      </c>
      <c r="C3">
        <v>210</v>
      </c>
      <c r="D3">
        <v>0.48</v>
      </c>
      <c r="E3">
        <v>100</v>
      </c>
      <c r="F3">
        <f t="shared" ref="F3:F49" si="1">$Q$1*D3+$R$1*E3</f>
        <v>50.24</v>
      </c>
      <c r="G3">
        <v>3</v>
      </c>
      <c r="J3" s="11" t="str">
        <f t="shared" ref="J3:J49" si="2">IF(F3&gt;$U$1,"5",IF(F3&gt;$V$1,"4",IF(F3&gt;$W$1,"3",IF(F3&gt;$X$1,"2",IF(F3&gt;$Y$1,"1",IF(F3&gt;$Z$1,"0"))))))</f>
        <v>3</v>
      </c>
      <c r="K3" s="11">
        <v>5</v>
      </c>
      <c r="N3" s="4">
        <f t="shared" si="0"/>
        <v>2</v>
      </c>
      <c r="O3" s="4"/>
    </row>
    <row r="4" spans="1:30" x14ac:dyDescent="0.3">
      <c r="A4" t="s">
        <v>62</v>
      </c>
      <c r="B4" t="s">
        <v>74</v>
      </c>
      <c r="C4">
        <v>147</v>
      </c>
      <c r="D4">
        <v>8.16</v>
      </c>
      <c r="E4">
        <v>41.67</v>
      </c>
      <c r="F4">
        <f t="shared" si="1"/>
        <v>24.914999999999999</v>
      </c>
      <c r="G4">
        <v>5</v>
      </c>
      <c r="H4">
        <v>9</v>
      </c>
      <c r="I4">
        <v>10</v>
      </c>
      <c r="J4" s="11" t="str">
        <f t="shared" si="2"/>
        <v>2</v>
      </c>
      <c r="K4" s="11">
        <v>5</v>
      </c>
      <c r="N4" s="4">
        <f t="shared" si="0"/>
        <v>3</v>
      </c>
      <c r="O4" s="4"/>
    </row>
    <row r="5" spans="1:30" x14ac:dyDescent="0.3">
      <c r="A5" t="s">
        <v>19</v>
      </c>
      <c r="B5" t="s">
        <v>75</v>
      </c>
      <c r="C5">
        <v>181</v>
      </c>
      <c r="D5">
        <v>11.6</v>
      </c>
      <c r="E5">
        <v>50</v>
      </c>
      <c r="F5">
        <f t="shared" si="1"/>
        <v>30.8</v>
      </c>
      <c r="G5">
        <v>3</v>
      </c>
      <c r="H5">
        <v>5</v>
      </c>
      <c r="I5">
        <v>9</v>
      </c>
      <c r="J5" s="11" t="str">
        <f t="shared" si="2"/>
        <v>2</v>
      </c>
      <c r="K5" s="11">
        <v>5</v>
      </c>
      <c r="N5" s="4">
        <f t="shared" si="0"/>
        <v>3</v>
      </c>
      <c r="O5" s="4"/>
    </row>
    <row r="6" spans="1:30" x14ac:dyDescent="0.3">
      <c r="A6" t="s">
        <v>20</v>
      </c>
      <c r="B6" t="s">
        <v>76</v>
      </c>
      <c r="C6">
        <v>447</v>
      </c>
      <c r="D6">
        <v>30.43</v>
      </c>
      <c r="E6">
        <v>59.09</v>
      </c>
      <c r="F6">
        <f t="shared" si="1"/>
        <v>44.760000000000005</v>
      </c>
      <c r="G6">
        <v>8</v>
      </c>
      <c r="H6">
        <v>3</v>
      </c>
      <c r="I6">
        <v>16</v>
      </c>
      <c r="J6" s="11" t="str">
        <f t="shared" si="2"/>
        <v>3</v>
      </c>
      <c r="K6" s="11">
        <v>5</v>
      </c>
      <c r="L6" s="11"/>
      <c r="N6" s="4">
        <f t="shared" si="0"/>
        <v>2</v>
      </c>
      <c r="O6" s="4"/>
    </row>
    <row r="7" spans="1:30" x14ac:dyDescent="0.3">
      <c r="A7" t="s">
        <v>21</v>
      </c>
      <c r="B7" t="s">
        <v>77</v>
      </c>
      <c r="C7">
        <v>439</v>
      </c>
      <c r="D7">
        <v>15.03</v>
      </c>
      <c r="E7">
        <v>69.09</v>
      </c>
      <c r="F7">
        <f t="shared" si="1"/>
        <v>42.06</v>
      </c>
      <c r="G7">
        <v>8</v>
      </c>
      <c r="H7">
        <v>10</v>
      </c>
      <c r="I7">
        <v>16</v>
      </c>
      <c r="J7" s="11" t="str">
        <f t="shared" si="2"/>
        <v>3</v>
      </c>
      <c r="K7" s="11">
        <v>5</v>
      </c>
      <c r="L7" s="11"/>
      <c r="N7" s="4">
        <f t="shared" si="0"/>
        <v>2</v>
      </c>
      <c r="O7" s="4"/>
    </row>
    <row r="8" spans="1:30" x14ac:dyDescent="0.3">
      <c r="A8" t="s">
        <v>22</v>
      </c>
      <c r="B8" t="s">
        <v>78</v>
      </c>
      <c r="C8">
        <v>226</v>
      </c>
      <c r="D8">
        <v>17.7</v>
      </c>
      <c r="E8">
        <v>40.74</v>
      </c>
      <c r="F8">
        <f t="shared" si="1"/>
        <v>29.22</v>
      </c>
      <c r="G8">
        <v>8</v>
      </c>
      <c r="H8">
        <v>5</v>
      </c>
      <c r="I8">
        <v>3</v>
      </c>
      <c r="J8" s="11" t="str">
        <f t="shared" si="2"/>
        <v>2</v>
      </c>
      <c r="K8" s="11">
        <v>5</v>
      </c>
      <c r="L8" s="11"/>
      <c r="N8" s="4">
        <f t="shared" si="0"/>
        <v>3</v>
      </c>
      <c r="O8" s="4"/>
    </row>
    <row r="9" spans="1:30" x14ac:dyDescent="0.3">
      <c r="A9" t="s">
        <v>23</v>
      </c>
      <c r="B9" t="s">
        <v>79</v>
      </c>
      <c r="C9">
        <v>303</v>
      </c>
      <c r="D9">
        <v>21.45</v>
      </c>
      <c r="E9">
        <v>38.64</v>
      </c>
      <c r="F9">
        <f t="shared" si="1"/>
        <v>30.045000000000002</v>
      </c>
      <c r="G9">
        <v>16</v>
      </c>
      <c r="H9">
        <v>5</v>
      </c>
      <c r="I9">
        <v>8</v>
      </c>
      <c r="J9" s="11" t="str">
        <f t="shared" si="2"/>
        <v>2</v>
      </c>
      <c r="K9" s="11">
        <v>5</v>
      </c>
      <c r="N9" s="4">
        <f t="shared" si="0"/>
        <v>3</v>
      </c>
      <c r="O9" s="4"/>
    </row>
    <row r="10" spans="1:30" x14ac:dyDescent="0.3">
      <c r="A10" t="s">
        <v>24</v>
      </c>
      <c r="B10" t="s">
        <v>80</v>
      </c>
      <c r="C10">
        <v>408</v>
      </c>
      <c r="D10">
        <v>14.22</v>
      </c>
      <c r="E10">
        <v>44.12</v>
      </c>
      <c r="F10">
        <f t="shared" si="1"/>
        <v>29.169999999999998</v>
      </c>
      <c r="G10">
        <v>3</v>
      </c>
      <c r="H10">
        <v>9</v>
      </c>
      <c r="I10">
        <v>8</v>
      </c>
      <c r="J10" s="11" t="str">
        <f t="shared" si="2"/>
        <v>2</v>
      </c>
      <c r="K10" s="11">
        <v>5</v>
      </c>
      <c r="N10" s="4">
        <f t="shared" si="0"/>
        <v>3</v>
      </c>
      <c r="O10" s="4"/>
    </row>
    <row r="11" spans="1:30" x14ac:dyDescent="0.3">
      <c r="A11" t="s">
        <v>25</v>
      </c>
      <c r="B11" t="s">
        <v>81</v>
      </c>
      <c r="C11">
        <v>202</v>
      </c>
      <c r="D11">
        <v>10.4</v>
      </c>
      <c r="E11">
        <v>42.86</v>
      </c>
      <c r="F11">
        <f t="shared" si="1"/>
        <v>26.63</v>
      </c>
      <c r="G11">
        <v>16</v>
      </c>
      <c r="H11">
        <v>9</v>
      </c>
      <c r="I11">
        <v>13</v>
      </c>
      <c r="J11" s="11" t="str">
        <f t="shared" si="2"/>
        <v>2</v>
      </c>
      <c r="K11" s="11">
        <v>5</v>
      </c>
      <c r="N11" s="4">
        <f t="shared" si="0"/>
        <v>3</v>
      </c>
      <c r="O11" s="4"/>
    </row>
    <row r="12" spans="1:30" x14ac:dyDescent="0.3">
      <c r="A12" t="s">
        <v>26</v>
      </c>
      <c r="B12" t="s">
        <v>82</v>
      </c>
      <c r="C12">
        <v>197</v>
      </c>
      <c r="D12">
        <v>11.17</v>
      </c>
      <c r="E12">
        <v>56.25</v>
      </c>
      <c r="F12">
        <f t="shared" si="1"/>
        <v>33.71</v>
      </c>
      <c r="G12">
        <v>16</v>
      </c>
      <c r="H12">
        <v>8</v>
      </c>
      <c r="I12">
        <v>9</v>
      </c>
      <c r="J12" s="11" t="str">
        <f t="shared" si="2"/>
        <v>2</v>
      </c>
      <c r="K12" s="11">
        <v>5</v>
      </c>
      <c r="N12" s="4">
        <f t="shared" si="0"/>
        <v>3</v>
      </c>
      <c r="O12" s="4"/>
    </row>
    <row r="13" spans="1:30" x14ac:dyDescent="0.3">
      <c r="A13" t="s">
        <v>63</v>
      </c>
      <c r="B13" t="s">
        <v>83</v>
      </c>
      <c r="C13">
        <v>642</v>
      </c>
      <c r="D13">
        <v>20.72</v>
      </c>
      <c r="E13">
        <v>62.75</v>
      </c>
      <c r="F13">
        <f t="shared" si="1"/>
        <v>41.734999999999999</v>
      </c>
      <c r="G13">
        <v>3</v>
      </c>
      <c r="H13">
        <v>5</v>
      </c>
      <c r="I13">
        <v>8</v>
      </c>
      <c r="J13" s="11" t="str">
        <f t="shared" si="2"/>
        <v>3</v>
      </c>
      <c r="K13" s="11">
        <v>5</v>
      </c>
      <c r="N13" s="4">
        <f t="shared" si="0"/>
        <v>2</v>
      </c>
      <c r="O13" s="4"/>
    </row>
    <row r="14" spans="1:30" x14ac:dyDescent="0.3">
      <c r="A14" t="s">
        <v>28</v>
      </c>
      <c r="B14" t="s">
        <v>84</v>
      </c>
      <c r="C14">
        <v>1168</v>
      </c>
      <c r="D14">
        <v>26.97</v>
      </c>
      <c r="E14">
        <v>64.319999999999993</v>
      </c>
      <c r="F14">
        <f t="shared" si="1"/>
        <v>45.644999999999996</v>
      </c>
      <c r="G14">
        <v>16</v>
      </c>
      <c r="H14">
        <v>5</v>
      </c>
      <c r="I14">
        <v>12</v>
      </c>
      <c r="J14" s="11" t="str">
        <f t="shared" si="2"/>
        <v>3</v>
      </c>
      <c r="K14" s="11">
        <v>5</v>
      </c>
      <c r="N14" s="4">
        <f t="shared" si="0"/>
        <v>2</v>
      </c>
      <c r="O14" s="4"/>
    </row>
    <row r="15" spans="1:30" x14ac:dyDescent="0.3">
      <c r="A15" t="s">
        <v>29</v>
      </c>
      <c r="B15" t="s">
        <v>85</v>
      </c>
      <c r="C15">
        <v>216</v>
      </c>
      <c r="D15">
        <v>15.28</v>
      </c>
      <c r="E15">
        <v>35.29</v>
      </c>
      <c r="F15">
        <f t="shared" si="1"/>
        <v>25.285</v>
      </c>
      <c r="G15">
        <v>9</v>
      </c>
      <c r="H15">
        <v>8</v>
      </c>
      <c r="I15">
        <v>11</v>
      </c>
      <c r="J15" s="11" t="str">
        <f t="shared" si="2"/>
        <v>2</v>
      </c>
      <c r="K15" s="11">
        <v>5</v>
      </c>
      <c r="N15" s="4">
        <f t="shared" si="0"/>
        <v>3</v>
      </c>
      <c r="O15" s="4"/>
    </row>
    <row r="16" spans="1:30" x14ac:dyDescent="0.3">
      <c r="A16" t="s">
        <v>30</v>
      </c>
      <c r="B16" t="s">
        <v>86</v>
      </c>
      <c r="C16">
        <v>342</v>
      </c>
      <c r="D16">
        <v>14.04</v>
      </c>
      <c r="E16">
        <v>61.29</v>
      </c>
      <c r="F16">
        <f t="shared" si="1"/>
        <v>37.664999999999999</v>
      </c>
      <c r="G16">
        <v>3</v>
      </c>
      <c r="H16">
        <v>16</v>
      </c>
      <c r="I16">
        <v>8</v>
      </c>
      <c r="J16" s="11" t="str">
        <f t="shared" si="2"/>
        <v>2</v>
      </c>
      <c r="K16" s="11">
        <v>5</v>
      </c>
      <c r="N16" s="4">
        <f t="shared" si="0"/>
        <v>3</v>
      </c>
      <c r="O16" s="4"/>
    </row>
    <row r="17" spans="1:15" x14ac:dyDescent="0.3">
      <c r="A17" t="s">
        <v>31</v>
      </c>
      <c r="B17" t="s">
        <v>87</v>
      </c>
      <c r="C17">
        <v>272</v>
      </c>
      <c r="D17">
        <v>6.62</v>
      </c>
      <c r="E17">
        <v>66.67</v>
      </c>
      <c r="F17">
        <f t="shared" si="1"/>
        <v>36.645000000000003</v>
      </c>
      <c r="G17">
        <v>3</v>
      </c>
      <c r="H17">
        <v>12</v>
      </c>
      <c r="I17">
        <v>16</v>
      </c>
      <c r="J17" s="11" t="str">
        <f t="shared" si="2"/>
        <v>2</v>
      </c>
      <c r="K17" s="11">
        <v>5</v>
      </c>
      <c r="L17" s="11"/>
      <c r="N17" s="4">
        <f t="shared" si="0"/>
        <v>3</v>
      </c>
      <c r="O17" s="4"/>
    </row>
    <row r="18" spans="1:15" x14ac:dyDescent="0.3">
      <c r="A18" t="s">
        <v>32</v>
      </c>
      <c r="B18" t="s">
        <v>64</v>
      </c>
      <c r="C18">
        <v>389</v>
      </c>
      <c r="D18">
        <v>11.57</v>
      </c>
      <c r="E18">
        <v>48.48</v>
      </c>
      <c r="F18">
        <f t="shared" si="1"/>
        <v>30.024999999999999</v>
      </c>
      <c r="G18">
        <v>8</v>
      </c>
      <c r="H18">
        <v>9</v>
      </c>
      <c r="I18">
        <v>10</v>
      </c>
      <c r="J18" s="11" t="str">
        <f t="shared" si="2"/>
        <v>2</v>
      </c>
      <c r="K18" s="11">
        <v>5</v>
      </c>
      <c r="N18" s="4">
        <f t="shared" si="0"/>
        <v>3</v>
      </c>
      <c r="O18" s="4"/>
    </row>
    <row r="19" spans="1:15" x14ac:dyDescent="0.3">
      <c r="A19" t="s">
        <v>33</v>
      </c>
      <c r="B19" t="s">
        <v>65</v>
      </c>
      <c r="C19">
        <v>655</v>
      </c>
      <c r="D19">
        <v>11.15</v>
      </c>
      <c r="E19">
        <v>66.67</v>
      </c>
      <c r="F19">
        <f t="shared" si="1"/>
        <v>38.910000000000004</v>
      </c>
      <c r="G19">
        <v>8</v>
      </c>
      <c r="H19">
        <v>13</v>
      </c>
      <c r="I19">
        <v>9</v>
      </c>
      <c r="J19" s="11" t="str">
        <f t="shared" si="2"/>
        <v>2</v>
      </c>
      <c r="K19" s="11">
        <v>5</v>
      </c>
      <c r="N19" s="4">
        <f t="shared" si="0"/>
        <v>3</v>
      </c>
      <c r="O19" s="4"/>
    </row>
    <row r="20" spans="1:15" x14ac:dyDescent="0.3">
      <c r="A20" t="s">
        <v>34</v>
      </c>
      <c r="B20" t="s">
        <v>88</v>
      </c>
      <c r="C20">
        <v>372</v>
      </c>
      <c r="D20">
        <v>15.86</v>
      </c>
      <c r="E20">
        <v>57.14</v>
      </c>
      <c r="F20">
        <f t="shared" si="1"/>
        <v>36.5</v>
      </c>
      <c r="G20">
        <v>16</v>
      </c>
      <c r="H20">
        <v>7</v>
      </c>
      <c r="I20">
        <v>9</v>
      </c>
      <c r="J20" s="11" t="str">
        <f t="shared" si="2"/>
        <v>2</v>
      </c>
      <c r="K20" s="11">
        <v>5</v>
      </c>
      <c r="N20" s="4">
        <f t="shared" si="0"/>
        <v>3</v>
      </c>
      <c r="O20" s="4"/>
    </row>
    <row r="21" spans="1:15" x14ac:dyDescent="0.3">
      <c r="A21" t="s">
        <v>35</v>
      </c>
      <c r="B21" t="s">
        <v>89</v>
      </c>
      <c r="C21">
        <v>418</v>
      </c>
      <c r="D21">
        <v>17.7</v>
      </c>
      <c r="E21">
        <v>38.78</v>
      </c>
      <c r="F21">
        <f t="shared" si="1"/>
        <v>28.240000000000002</v>
      </c>
      <c r="G21">
        <v>8</v>
      </c>
      <c r="H21">
        <v>16</v>
      </c>
      <c r="I21">
        <v>5</v>
      </c>
      <c r="J21" s="11" t="str">
        <f t="shared" si="2"/>
        <v>2</v>
      </c>
      <c r="K21" s="11">
        <v>5</v>
      </c>
      <c r="N21" s="4">
        <f t="shared" si="0"/>
        <v>3</v>
      </c>
      <c r="O21" s="4"/>
    </row>
    <row r="22" spans="1:15" x14ac:dyDescent="0.3">
      <c r="A22" t="s">
        <v>36</v>
      </c>
      <c r="B22" t="s">
        <v>90</v>
      </c>
      <c r="C22">
        <v>187</v>
      </c>
      <c r="D22">
        <v>12.3</v>
      </c>
      <c r="E22">
        <v>40</v>
      </c>
      <c r="F22">
        <f t="shared" si="1"/>
        <v>26.15</v>
      </c>
      <c r="G22">
        <v>3</v>
      </c>
      <c r="H22">
        <v>9</v>
      </c>
      <c r="I22">
        <v>4</v>
      </c>
      <c r="J22" s="11" t="str">
        <f t="shared" si="2"/>
        <v>2</v>
      </c>
      <c r="K22" s="11">
        <v>5</v>
      </c>
      <c r="N22" s="4">
        <f t="shared" si="0"/>
        <v>3</v>
      </c>
      <c r="O22" s="4"/>
    </row>
    <row r="23" spans="1:15" x14ac:dyDescent="0.3">
      <c r="A23" t="s">
        <v>37</v>
      </c>
      <c r="B23" t="s">
        <v>91</v>
      </c>
      <c r="C23">
        <v>450</v>
      </c>
      <c r="D23">
        <v>11.33</v>
      </c>
      <c r="E23">
        <v>38.24</v>
      </c>
      <c r="F23">
        <f t="shared" si="1"/>
        <v>24.785</v>
      </c>
      <c r="G23">
        <v>16</v>
      </c>
      <c r="H23">
        <v>10</v>
      </c>
      <c r="I23">
        <v>3</v>
      </c>
      <c r="J23" s="11" t="str">
        <f t="shared" si="2"/>
        <v>2</v>
      </c>
      <c r="K23" s="11">
        <v>5</v>
      </c>
      <c r="N23" s="4">
        <f t="shared" si="0"/>
        <v>3</v>
      </c>
      <c r="O23" s="4"/>
    </row>
    <row r="24" spans="1:15" x14ac:dyDescent="0.3">
      <c r="A24" t="s">
        <v>38</v>
      </c>
      <c r="B24" t="s">
        <v>92</v>
      </c>
      <c r="C24">
        <v>237</v>
      </c>
      <c r="D24">
        <v>10.55</v>
      </c>
      <c r="E24">
        <v>40</v>
      </c>
      <c r="F24">
        <f t="shared" si="1"/>
        <v>25.274999999999999</v>
      </c>
      <c r="G24">
        <v>3</v>
      </c>
      <c r="H24">
        <v>9</v>
      </c>
      <c r="I24">
        <v>12</v>
      </c>
      <c r="J24" s="11" t="str">
        <f t="shared" si="2"/>
        <v>2</v>
      </c>
      <c r="K24" s="11">
        <v>4</v>
      </c>
      <c r="N24" s="4">
        <f t="shared" si="0"/>
        <v>2</v>
      </c>
      <c r="O24" s="4"/>
    </row>
    <row r="25" spans="1:15" x14ac:dyDescent="0.3">
      <c r="A25" t="s">
        <v>39</v>
      </c>
      <c r="B25" t="s">
        <v>93</v>
      </c>
      <c r="C25">
        <v>281</v>
      </c>
      <c r="D25">
        <v>11.03</v>
      </c>
      <c r="E25">
        <v>36.840000000000003</v>
      </c>
      <c r="F25">
        <f t="shared" si="1"/>
        <v>23.935000000000002</v>
      </c>
      <c r="G25">
        <v>3</v>
      </c>
      <c r="H25">
        <v>4</v>
      </c>
      <c r="I25">
        <v>10</v>
      </c>
      <c r="J25" s="11" t="str">
        <f t="shared" si="2"/>
        <v>2</v>
      </c>
      <c r="K25" s="11">
        <v>5</v>
      </c>
      <c r="L25" s="11"/>
      <c r="N25" s="4">
        <f t="shared" si="0"/>
        <v>3</v>
      </c>
      <c r="O25" s="4"/>
    </row>
    <row r="26" spans="1:15" x14ac:dyDescent="0.3">
      <c r="A26" t="s">
        <v>40</v>
      </c>
      <c r="B26" t="s">
        <v>94</v>
      </c>
      <c r="C26">
        <v>174</v>
      </c>
      <c r="D26">
        <v>28.16</v>
      </c>
      <c r="E26">
        <v>42.5</v>
      </c>
      <c r="F26">
        <f t="shared" si="1"/>
        <v>35.33</v>
      </c>
      <c r="G26">
        <v>9</v>
      </c>
      <c r="H26">
        <v>12</v>
      </c>
      <c r="I26">
        <v>3</v>
      </c>
      <c r="J26" s="11" t="str">
        <f t="shared" si="2"/>
        <v>2</v>
      </c>
      <c r="K26" s="11">
        <v>5</v>
      </c>
      <c r="L26" s="11"/>
      <c r="N26" s="4">
        <f t="shared" si="0"/>
        <v>3</v>
      </c>
      <c r="O26" s="4"/>
    </row>
    <row r="27" spans="1:15" x14ac:dyDescent="0.3">
      <c r="A27" t="s">
        <v>41</v>
      </c>
      <c r="B27" t="s">
        <v>76</v>
      </c>
      <c r="C27">
        <v>453</v>
      </c>
      <c r="D27">
        <v>0.88</v>
      </c>
      <c r="E27">
        <v>75</v>
      </c>
      <c r="F27">
        <f t="shared" si="1"/>
        <v>37.94</v>
      </c>
      <c r="G27">
        <v>4</v>
      </c>
      <c r="H27">
        <v>7</v>
      </c>
      <c r="J27" s="11" t="str">
        <f t="shared" si="2"/>
        <v>2</v>
      </c>
      <c r="K27" s="11">
        <v>5</v>
      </c>
      <c r="L27" s="11"/>
      <c r="N27" s="4">
        <f t="shared" si="0"/>
        <v>3</v>
      </c>
      <c r="O27" s="4"/>
    </row>
    <row r="28" spans="1:15" x14ac:dyDescent="0.3">
      <c r="A28" t="s">
        <v>42</v>
      </c>
      <c r="B28" t="s">
        <v>95</v>
      </c>
      <c r="C28">
        <v>278</v>
      </c>
      <c r="D28">
        <v>14.03</v>
      </c>
      <c r="E28">
        <v>37.5</v>
      </c>
      <c r="F28">
        <f t="shared" si="1"/>
        <v>25.765000000000001</v>
      </c>
      <c r="G28">
        <v>3</v>
      </c>
      <c r="H28">
        <v>6</v>
      </c>
      <c r="I28">
        <v>9</v>
      </c>
      <c r="J28" s="11" t="str">
        <f t="shared" si="2"/>
        <v>2</v>
      </c>
      <c r="K28" s="11">
        <v>5</v>
      </c>
      <c r="L28" s="11"/>
      <c r="N28" s="4">
        <f t="shared" si="0"/>
        <v>3</v>
      </c>
      <c r="O28" s="4"/>
    </row>
    <row r="29" spans="1:15" x14ac:dyDescent="0.3">
      <c r="A29" t="s">
        <v>43</v>
      </c>
      <c r="B29" t="s">
        <v>96</v>
      </c>
      <c r="C29">
        <v>1712</v>
      </c>
      <c r="D29">
        <v>12.27</v>
      </c>
      <c r="E29">
        <v>38.18</v>
      </c>
      <c r="F29">
        <f t="shared" si="1"/>
        <v>25.225000000000001</v>
      </c>
      <c r="G29">
        <v>8</v>
      </c>
      <c r="H29">
        <v>3</v>
      </c>
      <c r="I29">
        <v>9</v>
      </c>
      <c r="J29" s="11" t="str">
        <f t="shared" si="2"/>
        <v>2</v>
      </c>
      <c r="K29" s="11">
        <v>5</v>
      </c>
      <c r="N29" s="4">
        <f t="shared" si="0"/>
        <v>3</v>
      </c>
      <c r="O29" s="4"/>
    </row>
    <row r="30" spans="1:15" x14ac:dyDescent="0.3">
      <c r="A30" t="s">
        <v>44</v>
      </c>
      <c r="B30" t="s">
        <v>66</v>
      </c>
      <c r="C30">
        <v>507</v>
      </c>
      <c r="D30">
        <v>20.12</v>
      </c>
      <c r="E30">
        <v>39.39</v>
      </c>
      <c r="F30">
        <f t="shared" si="1"/>
        <v>29.755000000000003</v>
      </c>
      <c r="G30">
        <v>12</v>
      </c>
      <c r="H30">
        <v>3</v>
      </c>
      <c r="I30">
        <v>9</v>
      </c>
      <c r="J30" s="11" t="str">
        <f t="shared" si="2"/>
        <v>2</v>
      </c>
      <c r="K30" s="11">
        <v>5</v>
      </c>
      <c r="N30" s="4">
        <f t="shared" si="0"/>
        <v>3</v>
      </c>
      <c r="O30" s="4"/>
    </row>
    <row r="31" spans="1:15" x14ac:dyDescent="0.3">
      <c r="A31" t="s">
        <v>45</v>
      </c>
      <c r="B31" t="s">
        <v>97</v>
      </c>
      <c r="C31">
        <v>264</v>
      </c>
      <c r="D31">
        <v>6.82</v>
      </c>
      <c r="E31">
        <v>41.67</v>
      </c>
      <c r="F31">
        <f t="shared" si="1"/>
        <v>24.245000000000001</v>
      </c>
      <c r="G31">
        <v>9</v>
      </c>
      <c r="H31">
        <v>3</v>
      </c>
      <c r="I31">
        <v>10</v>
      </c>
      <c r="J31" s="11" t="str">
        <f t="shared" si="2"/>
        <v>2</v>
      </c>
      <c r="K31" s="11">
        <v>5</v>
      </c>
      <c r="N31" s="4">
        <f t="shared" si="0"/>
        <v>3</v>
      </c>
      <c r="O31" s="4"/>
    </row>
    <row r="32" spans="1:15" ht="16.95" customHeight="1" x14ac:dyDescent="0.3">
      <c r="A32" t="s">
        <v>46</v>
      </c>
      <c r="B32" t="s">
        <v>67</v>
      </c>
      <c r="C32">
        <v>269</v>
      </c>
      <c r="D32">
        <v>18.22</v>
      </c>
      <c r="E32">
        <v>51.43</v>
      </c>
      <c r="F32">
        <f t="shared" si="1"/>
        <v>34.825000000000003</v>
      </c>
      <c r="G32">
        <v>3</v>
      </c>
      <c r="H32">
        <v>9</v>
      </c>
      <c r="I32">
        <v>16</v>
      </c>
      <c r="J32" s="11" t="str">
        <f t="shared" si="2"/>
        <v>2</v>
      </c>
      <c r="K32" s="11">
        <v>5</v>
      </c>
      <c r="N32" s="4">
        <f t="shared" si="0"/>
        <v>3</v>
      </c>
      <c r="O32" s="4"/>
    </row>
    <row r="33" spans="1:15" x14ac:dyDescent="0.3">
      <c r="A33" t="s">
        <v>47</v>
      </c>
      <c r="B33" t="s">
        <v>98</v>
      </c>
      <c r="C33">
        <v>566</v>
      </c>
      <c r="D33">
        <v>7.95</v>
      </c>
      <c r="E33">
        <v>52.94</v>
      </c>
      <c r="F33">
        <f t="shared" si="1"/>
        <v>30.445</v>
      </c>
      <c r="G33">
        <v>7</v>
      </c>
      <c r="H33">
        <v>3</v>
      </c>
      <c r="I33">
        <v>10</v>
      </c>
      <c r="J33" s="11" t="str">
        <f t="shared" si="2"/>
        <v>2</v>
      </c>
      <c r="K33" s="11">
        <v>5</v>
      </c>
      <c r="N33" s="4">
        <f t="shared" si="0"/>
        <v>3</v>
      </c>
      <c r="O33" s="4"/>
    </row>
    <row r="34" spans="1:15" x14ac:dyDescent="0.3">
      <c r="A34" t="s">
        <v>48</v>
      </c>
      <c r="B34" t="s">
        <v>99</v>
      </c>
      <c r="C34">
        <v>396</v>
      </c>
      <c r="D34">
        <v>14.9</v>
      </c>
      <c r="E34">
        <v>40</v>
      </c>
      <c r="F34">
        <f t="shared" si="1"/>
        <v>27.45</v>
      </c>
      <c r="G34">
        <v>9</v>
      </c>
      <c r="H34">
        <v>8</v>
      </c>
      <c r="I34">
        <v>5</v>
      </c>
      <c r="J34" s="11" t="str">
        <f t="shared" si="2"/>
        <v>2</v>
      </c>
      <c r="K34" s="11">
        <v>5</v>
      </c>
      <c r="N34" s="4">
        <f t="shared" ref="N34:N49" si="3">ABS(J34-K34)</f>
        <v>3</v>
      </c>
      <c r="O34" s="4"/>
    </row>
    <row r="35" spans="1:15" x14ac:dyDescent="0.3">
      <c r="A35" t="s">
        <v>49</v>
      </c>
      <c r="B35" t="s">
        <v>100</v>
      </c>
      <c r="C35">
        <v>352</v>
      </c>
      <c r="D35">
        <v>11.08</v>
      </c>
      <c r="E35">
        <v>40.74</v>
      </c>
      <c r="F35">
        <f t="shared" si="1"/>
        <v>25.91</v>
      </c>
      <c r="G35">
        <v>16</v>
      </c>
      <c r="H35">
        <v>11</v>
      </c>
      <c r="I35">
        <v>5</v>
      </c>
      <c r="J35" s="11" t="str">
        <f t="shared" si="2"/>
        <v>2</v>
      </c>
      <c r="K35" s="11">
        <v>5</v>
      </c>
      <c r="N35" s="4">
        <f t="shared" si="3"/>
        <v>3</v>
      </c>
      <c r="O35" s="4"/>
    </row>
    <row r="36" spans="1:15" x14ac:dyDescent="0.3">
      <c r="A36" t="s">
        <v>50</v>
      </c>
      <c r="B36" t="s">
        <v>101</v>
      </c>
      <c r="C36">
        <v>266</v>
      </c>
      <c r="D36">
        <v>15.79</v>
      </c>
      <c r="E36">
        <v>38.24</v>
      </c>
      <c r="F36">
        <f t="shared" si="1"/>
        <v>27.015000000000001</v>
      </c>
      <c r="G36">
        <v>16</v>
      </c>
      <c r="H36">
        <v>5</v>
      </c>
      <c r="I36">
        <v>3</v>
      </c>
      <c r="J36" s="11" t="str">
        <f t="shared" si="2"/>
        <v>2</v>
      </c>
      <c r="K36" s="11">
        <v>5</v>
      </c>
      <c r="N36" s="4">
        <f t="shared" si="3"/>
        <v>3</v>
      </c>
      <c r="O36" s="4"/>
    </row>
    <row r="37" spans="1:15" x14ac:dyDescent="0.3">
      <c r="A37" t="s">
        <v>51</v>
      </c>
      <c r="B37" t="s">
        <v>102</v>
      </c>
      <c r="C37">
        <v>952</v>
      </c>
      <c r="D37">
        <v>20.9</v>
      </c>
      <c r="E37">
        <v>37.5</v>
      </c>
      <c r="F37">
        <f t="shared" si="1"/>
        <v>29.2</v>
      </c>
      <c r="G37">
        <v>9</v>
      </c>
      <c r="H37">
        <v>12</v>
      </c>
      <c r="I37">
        <v>3</v>
      </c>
      <c r="J37" s="11" t="str">
        <f t="shared" si="2"/>
        <v>2</v>
      </c>
      <c r="K37" s="11">
        <v>5</v>
      </c>
      <c r="N37" s="4">
        <f t="shared" si="3"/>
        <v>3</v>
      </c>
      <c r="O37" s="4"/>
    </row>
    <row r="38" spans="1:15" x14ac:dyDescent="0.3">
      <c r="A38" t="s">
        <v>52</v>
      </c>
      <c r="B38" t="s">
        <v>103</v>
      </c>
      <c r="C38">
        <v>198</v>
      </c>
      <c r="D38">
        <v>40.909999999999997</v>
      </c>
      <c r="E38">
        <v>46</v>
      </c>
      <c r="F38">
        <f t="shared" si="1"/>
        <v>43.454999999999998</v>
      </c>
      <c r="G38">
        <v>8</v>
      </c>
      <c r="H38">
        <v>16</v>
      </c>
      <c r="I38">
        <v>10</v>
      </c>
      <c r="J38" s="11" t="str">
        <f t="shared" si="2"/>
        <v>3</v>
      </c>
      <c r="K38" s="11">
        <v>5</v>
      </c>
      <c r="N38" s="4">
        <f t="shared" si="3"/>
        <v>2</v>
      </c>
      <c r="O38" s="4"/>
    </row>
    <row r="39" spans="1:15" x14ac:dyDescent="0.3">
      <c r="A39" t="s">
        <v>53</v>
      </c>
      <c r="B39" t="s">
        <v>104</v>
      </c>
      <c r="C39">
        <v>671</v>
      </c>
      <c r="D39">
        <v>36.51</v>
      </c>
      <c r="E39">
        <v>53.23</v>
      </c>
      <c r="F39">
        <f t="shared" si="1"/>
        <v>44.87</v>
      </c>
      <c r="G39">
        <v>9</v>
      </c>
      <c r="H39">
        <v>8</v>
      </c>
      <c r="I39">
        <v>4</v>
      </c>
      <c r="J39" s="11" t="str">
        <f t="shared" si="2"/>
        <v>3</v>
      </c>
      <c r="K39" s="11">
        <v>5</v>
      </c>
      <c r="N39" s="4">
        <f t="shared" si="3"/>
        <v>2</v>
      </c>
      <c r="O39" s="4"/>
    </row>
    <row r="40" spans="1:15" x14ac:dyDescent="0.3">
      <c r="A40" t="s">
        <v>54</v>
      </c>
      <c r="B40" t="s">
        <v>105</v>
      </c>
      <c r="C40">
        <v>292</v>
      </c>
      <c r="D40">
        <v>10.62</v>
      </c>
      <c r="E40">
        <v>44.44</v>
      </c>
      <c r="F40">
        <f t="shared" si="1"/>
        <v>27.529999999999998</v>
      </c>
      <c r="G40">
        <v>8</v>
      </c>
      <c r="H40">
        <v>16</v>
      </c>
      <c r="I40">
        <v>13</v>
      </c>
      <c r="J40" s="11" t="str">
        <f t="shared" si="2"/>
        <v>2</v>
      </c>
      <c r="K40" s="11">
        <v>5</v>
      </c>
      <c r="N40" s="4">
        <f t="shared" si="3"/>
        <v>3</v>
      </c>
      <c r="O40" s="4"/>
    </row>
    <row r="41" spans="1:15" x14ac:dyDescent="0.3">
      <c r="A41" t="s">
        <v>55</v>
      </c>
      <c r="B41" t="s">
        <v>68</v>
      </c>
      <c r="C41">
        <v>396</v>
      </c>
      <c r="D41">
        <v>25</v>
      </c>
      <c r="E41">
        <v>56.76</v>
      </c>
      <c r="F41">
        <f t="shared" si="1"/>
        <v>40.879999999999995</v>
      </c>
      <c r="G41">
        <v>8</v>
      </c>
      <c r="H41">
        <v>10</v>
      </c>
      <c r="I41">
        <v>3</v>
      </c>
      <c r="J41" s="11" t="str">
        <f t="shared" si="2"/>
        <v>3</v>
      </c>
      <c r="K41" s="11">
        <v>5</v>
      </c>
      <c r="N41" s="4">
        <f t="shared" si="3"/>
        <v>2</v>
      </c>
      <c r="O41" s="4"/>
    </row>
    <row r="42" spans="1:15" x14ac:dyDescent="0.3">
      <c r="A42" t="s">
        <v>56</v>
      </c>
      <c r="B42" t="s">
        <v>106</v>
      </c>
      <c r="C42">
        <v>197</v>
      </c>
      <c r="D42">
        <v>13.2</v>
      </c>
      <c r="E42">
        <v>65</v>
      </c>
      <c r="F42">
        <f t="shared" si="1"/>
        <v>39.1</v>
      </c>
      <c r="G42">
        <v>8</v>
      </c>
      <c r="H42">
        <v>13</v>
      </c>
      <c r="I42">
        <v>3</v>
      </c>
      <c r="J42" s="11" t="str">
        <f t="shared" si="2"/>
        <v>2</v>
      </c>
      <c r="K42" s="11">
        <v>5</v>
      </c>
      <c r="N42" s="4">
        <f t="shared" si="3"/>
        <v>3</v>
      </c>
      <c r="O42" s="4"/>
    </row>
    <row r="43" spans="1:15" x14ac:dyDescent="0.3">
      <c r="A43" t="s">
        <v>57</v>
      </c>
      <c r="B43" t="s">
        <v>69</v>
      </c>
      <c r="C43">
        <v>489</v>
      </c>
      <c r="D43">
        <v>15.54</v>
      </c>
      <c r="E43">
        <v>47.06</v>
      </c>
      <c r="F43">
        <f t="shared" si="1"/>
        <v>31.3</v>
      </c>
      <c r="G43">
        <v>8</v>
      </c>
      <c r="H43">
        <v>13</v>
      </c>
      <c r="I43">
        <v>9</v>
      </c>
      <c r="J43" s="11" t="str">
        <f t="shared" si="2"/>
        <v>2</v>
      </c>
      <c r="K43" s="11">
        <v>5</v>
      </c>
      <c r="N43" s="4">
        <f t="shared" si="3"/>
        <v>3</v>
      </c>
      <c r="O43" s="4"/>
    </row>
    <row r="44" spans="1:15" x14ac:dyDescent="0.3">
      <c r="A44" t="s">
        <v>58</v>
      </c>
      <c r="B44" t="s">
        <v>107</v>
      </c>
      <c r="C44">
        <v>133</v>
      </c>
      <c r="D44">
        <v>27.82</v>
      </c>
      <c r="E44">
        <v>46.43</v>
      </c>
      <c r="F44">
        <f t="shared" si="1"/>
        <v>37.125</v>
      </c>
      <c r="G44">
        <v>8</v>
      </c>
      <c r="H44">
        <v>9</v>
      </c>
      <c r="I44">
        <v>3</v>
      </c>
      <c r="J44" s="11" t="str">
        <f t="shared" si="2"/>
        <v>2</v>
      </c>
      <c r="K44" s="11">
        <v>5</v>
      </c>
      <c r="N44" s="4">
        <f t="shared" si="3"/>
        <v>3</v>
      </c>
      <c r="O44" s="4"/>
    </row>
    <row r="45" spans="1:15" x14ac:dyDescent="0.3">
      <c r="A45" t="s">
        <v>59</v>
      </c>
      <c r="B45" t="s">
        <v>108</v>
      </c>
      <c r="C45">
        <v>391</v>
      </c>
      <c r="D45">
        <v>23.53</v>
      </c>
      <c r="E45">
        <v>50.7</v>
      </c>
      <c r="F45">
        <f t="shared" si="1"/>
        <v>37.115000000000002</v>
      </c>
      <c r="G45">
        <v>9</v>
      </c>
      <c r="H45">
        <v>8</v>
      </c>
      <c r="I45">
        <v>16</v>
      </c>
      <c r="J45" s="11" t="str">
        <f t="shared" si="2"/>
        <v>2</v>
      </c>
      <c r="K45" s="11">
        <v>5</v>
      </c>
      <c r="N45" s="4">
        <f t="shared" si="3"/>
        <v>3</v>
      </c>
      <c r="O45" s="4"/>
    </row>
    <row r="46" spans="1:15" x14ac:dyDescent="0.3">
      <c r="A46" t="s">
        <v>60</v>
      </c>
      <c r="B46" t="s">
        <v>70</v>
      </c>
      <c r="C46">
        <v>421</v>
      </c>
      <c r="D46">
        <v>12.11</v>
      </c>
      <c r="E46">
        <v>38.64</v>
      </c>
      <c r="F46">
        <f t="shared" si="1"/>
        <v>25.375</v>
      </c>
      <c r="G46">
        <v>9</v>
      </c>
      <c r="H46">
        <v>8</v>
      </c>
      <c r="I46">
        <v>16</v>
      </c>
      <c r="J46" s="11" t="str">
        <f t="shared" si="2"/>
        <v>2</v>
      </c>
      <c r="K46" s="11">
        <v>5</v>
      </c>
      <c r="N46" s="4">
        <f t="shared" si="3"/>
        <v>3</v>
      </c>
      <c r="O46" s="4"/>
    </row>
    <row r="47" spans="1:15" x14ac:dyDescent="0.3">
      <c r="A47" t="s">
        <v>61</v>
      </c>
      <c r="B47" t="s">
        <v>71</v>
      </c>
      <c r="C47">
        <v>374</v>
      </c>
      <c r="D47">
        <v>8.2899999999999991</v>
      </c>
      <c r="E47">
        <v>66.67</v>
      </c>
      <c r="F47">
        <f t="shared" si="1"/>
        <v>37.480000000000004</v>
      </c>
      <c r="G47">
        <v>8</v>
      </c>
      <c r="H47">
        <v>10</v>
      </c>
      <c r="I47">
        <v>5</v>
      </c>
      <c r="J47" s="11" t="str">
        <f t="shared" si="2"/>
        <v>2</v>
      </c>
      <c r="K47" s="11">
        <v>5</v>
      </c>
      <c r="L47" s="11">
        <v>5</v>
      </c>
      <c r="M47" s="11">
        <v>5</v>
      </c>
      <c r="N47" s="4">
        <f t="shared" si="3"/>
        <v>3</v>
      </c>
      <c r="O47" s="4"/>
    </row>
    <row r="48" spans="1:15" x14ac:dyDescent="0.3">
      <c r="A48" s="12" t="s">
        <v>15</v>
      </c>
      <c r="B48" s="12" t="s">
        <v>109</v>
      </c>
      <c r="C48" s="12">
        <v>376</v>
      </c>
      <c r="D48" s="12">
        <v>47.87</v>
      </c>
      <c r="E48" s="12">
        <v>41.86</v>
      </c>
      <c r="F48" s="12">
        <f t="shared" si="1"/>
        <v>44.864999999999995</v>
      </c>
      <c r="G48" s="12">
        <v>8</v>
      </c>
      <c r="H48" s="12">
        <v>16</v>
      </c>
      <c r="I48" s="12">
        <v>9</v>
      </c>
      <c r="J48" s="13" t="str">
        <f t="shared" si="2"/>
        <v>3</v>
      </c>
      <c r="K48" s="13">
        <v>5</v>
      </c>
      <c r="L48" s="12"/>
      <c r="M48" s="12"/>
      <c r="N48" s="14">
        <f t="shared" si="3"/>
        <v>2</v>
      </c>
      <c r="O48" s="4"/>
    </row>
    <row r="49" spans="1:15" x14ac:dyDescent="0.3">
      <c r="A49" s="12" t="s">
        <v>16</v>
      </c>
      <c r="B49" s="12" t="s">
        <v>110</v>
      </c>
      <c r="C49" s="12">
        <v>215</v>
      </c>
      <c r="D49" s="12">
        <v>72.56</v>
      </c>
      <c r="E49" s="12">
        <v>70.69</v>
      </c>
      <c r="F49" s="12">
        <f t="shared" si="1"/>
        <v>71.625</v>
      </c>
      <c r="G49" s="12">
        <v>8</v>
      </c>
      <c r="H49" s="12">
        <v>5</v>
      </c>
      <c r="I49" s="12">
        <v>10</v>
      </c>
      <c r="J49" s="13" t="str">
        <f t="shared" si="2"/>
        <v>4</v>
      </c>
      <c r="K49" s="13">
        <v>5</v>
      </c>
      <c r="L49" s="12"/>
      <c r="M49" s="12"/>
      <c r="N49" s="14">
        <f t="shared" si="3"/>
        <v>1</v>
      </c>
      <c r="O49" s="4"/>
    </row>
    <row r="50" spans="1:15" x14ac:dyDescent="0.3">
      <c r="J50" s="11"/>
      <c r="K50" s="11"/>
      <c r="N50" s="4"/>
      <c r="O50" s="4"/>
    </row>
    <row r="51" spans="1:15" x14ac:dyDescent="0.3">
      <c r="J51" s="11"/>
      <c r="K51" s="11"/>
      <c r="N51" s="4"/>
      <c r="O51" s="4"/>
    </row>
    <row r="52" spans="1:15" x14ac:dyDescent="0.3">
      <c r="J52" s="11"/>
      <c r="K52" s="11"/>
      <c r="N52" s="4"/>
      <c r="O52" s="4"/>
    </row>
    <row r="53" spans="1:15" x14ac:dyDescent="0.3">
      <c r="J53" s="11"/>
      <c r="K53" s="11"/>
      <c r="N53" s="4"/>
      <c r="O53" s="4"/>
    </row>
    <row r="54" spans="1:15" x14ac:dyDescent="0.3">
      <c r="J54" s="11"/>
      <c r="K54" s="11"/>
      <c r="N54" s="4"/>
      <c r="O54" s="4"/>
    </row>
    <row r="55" spans="1:15" x14ac:dyDescent="0.3">
      <c r="J55" s="11"/>
      <c r="K55" s="11"/>
      <c r="N55" s="4"/>
      <c r="O55" s="4"/>
    </row>
    <row r="56" spans="1:15" x14ac:dyDescent="0.3">
      <c r="J56" s="11"/>
      <c r="K56" s="11"/>
      <c r="N56" s="4"/>
      <c r="O56" s="4"/>
    </row>
    <row r="57" spans="1:15" x14ac:dyDescent="0.3">
      <c r="J57" s="11"/>
      <c r="K57" s="11"/>
      <c r="N57" s="4"/>
      <c r="O57" s="4"/>
    </row>
    <row r="58" spans="1:15" x14ac:dyDescent="0.3">
      <c r="J58" s="11"/>
      <c r="K58" s="11"/>
      <c r="N58" s="4"/>
      <c r="O58" s="4"/>
    </row>
    <row r="59" spans="1:15" x14ac:dyDescent="0.3">
      <c r="J59" s="11"/>
      <c r="K59" s="11"/>
      <c r="N59" s="4"/>
      <c r="O59" s="4"/>
    </row>
    <row r="60" spans="1:15" x14ac:dyDescent="0.3">
      <c r="J60" s="11"/>
      <c r="K60" s="11"/>
      <c r="N60" s="4"/>
      <c r="O60" s="4"/>
    </row>
    <row r="61" spans="1:15" x14ac:dyDescent="0.3">
      <c r="J61" s="11"/>
      <c r="K61" s="11"/>
      <c r="N61" s="4"/>
      <c r="O61" s="4"/>
    </row>
    <row r="62" spans="1:15" x14ac:dyDescent="0.3">
      <c r="J62" s="11"/>
      <c r="K62" s="11"/>
      <c r="N62" s="4"/>
      <c r="O62" s="4"/>
    </row>
    <row r="63" spans="1:15" x14ac:dyDescent="0.3">
      <c r="J63" s="11"/>
      <c r="K63" s="11"/>
      <c r="N63" s="4"/>
      <c r="O63" s="4"/>
    </row>
    <row r="64" spans="1:15" x14ac:dyDescent="0.3">
      <c r="J64" s="11"/>
      <c r="K64" s="11"/>
      <c r="N64" s="4"/>
      <c r="O64" s="4"/>
    </row>
    <row r="65" spans="10:15" x14ac:dyDescent="0.3">
      <c r="J65" s="11"/>
      <c r="K65" s="11"/>
      <c r="N65" s="4"/>
      <c r="O65" s="4"/>
    </row>
    <row r="66" spans="10:15" x14ac:dyDescent="0.3">
      <c r="J66" s="11"/>
      <c r="K66" s="11"/>
      <c r="N66" s="4"/>
      <c r="O66" s="4"/>
    </row>
    <row r="67" spans="10:15" x14ac:dyDescent="0.3">
      <c r="J67" s="11"/>
      <c r="K67" s="11"/>
      <c r="N67" s="4"/>
      <c r="O67" s="4"/>
    </row>
    <row r="68" spans="10:15" x14ac:dyDescent="0.3">
      <c r="J68" s="11"/>
      <c r="K68" s="11"/>
      <c r="L68" s="11"/>
      <c r="N68" s="4"/>
      <c r="O68" s="4"/>
    </row>
    <row r="69" spans="10:15" x14ac:dyDescent="0.3">
      <c r="J69" s="11"/>
      <c r="K69" s="11"/>
      <c r="L69" s="11"/>
      <c r="N69" s="4"/>
      <c r="O69" s="4"/>
    </row>
    <row r="70" spans="10:15" x14ac:dyDescent="0.3">
      <c r="J70" s="11"/>
      <c r="K70" s="11"/>
      <c r="N70" s="4"/>
      <c r="O70" s="4"/>
    </row>
    <row r="71" spans="10:15" x14ac:dyDescent="0.3">
      <c r="J71" s="11"/>
      <c r="K71" s="11"/>
      <c r="N71" s="4"/>
      <c r="O71" s="4"/>
    </row>
    <row r="72" spans="10:15" x14ac:dyDescent="0.3">
      <c r="J72" s="11"/>
      <c r="K72" s="11"/>
      <c r="N72" s="4"/>
      <c r="O72" s="4"/>
    </row>
    <row r="73" spans="10:15" x14ac:dyDescent="0.3">
      <c r="J73" s="11"/>
      <c r="K73" s="11"/>
      <c r="N73" s="4"/>
      <c r="O73" s="4"/>
    </row>
    <row r="74" spans="10:15" x14ac:dyDescent="0.3">
      <c r="J74" s="11"/>
      <c r="K74" s="11"/>
      <c r="N74" s="4"/>
      <c r="O74" s="4"/>
    </row>
    <row r="75" spans="10:15" x14ac:dyDescent="0.3">
      <c r="J75" s="11"/>
      <c r="K75" s="11"/>
      <c r="N75" s="4"/>
      <c r="O75" s="4"/>
    </row>
    <row r="76" spans="10:15" x14ac:dyDescent="0.3">
      <c r="J76" s="11"/>
      <c r="K76" s="11"/>
      <c r="N76" s="4"/>
      <c r="O76" s="4"/>
    </row>
    <row r="77" spans="10:15" x14ac:dyDescent="0.3">
      <c r="J77" s="11"/>
      <c r="K77" s="11"/>
      <c r="N77" s="4"/>
      <c r="O77" s="4"/>
    </row>
    <row r="78" spans="10:15" x14ac:dyDescent="0.3">
      <c r="J78" s="11"/>
      <c r="K78" s="11"/>
      <c r="N78" s="4"/>
      <c r="O78" s="4"/>
    </row>
    <row r="79" spans="10:15" x14ac:dyDescent="0.3">
      <c r="J79" s="11"/>
      <c r="K79" s="11"/>
      <c r="N79" s="4"/>
      <c r="O79" s="4"/>
    </row>
    <row r="80" spans="10:15" x14ac:dyDescent="0.3">
      <c r="J80" s="11"/>
      <c r="K80" s="11"/>
      <c r="N80" s="4"/>
      <c r="O80" s="4"/>
    </row>
    <row r="81" spans="10:15" x14ac:dyDescent="0.3">
      <c r="J81" s="11"/>
      <c r="K81" s="11"/>
      <c r="L81" s="11"/>
      <c r="N81" s="4"/>
      <c r="O81" s="4"/>
    </row>
    <row r="82" spans="10:15" x14ac:dyDescent="0.3">
      <c r="J82" s="11"/>
      <c r="K82" s="11"/>
      <c r="L82" s="11"/>
      <c r="N82" s="4"/>
      <c r="O82" s="4"/>
    </row>
    <row r="83" spans="10:15" x14ac:dyDescent="0.3">
      <c r="J83" s="11"/>
      <c r="K83" s="11"/>
      <c r="L83" s="11"/>
      <c r="N83" s="4"/>
    </row>
    <row r="84" spans="10:15" x14ac:dyDescent="0.3">
      <c r="J84" s="11"/>
      <c r="K84" s="11"/>
      <c r="L84" s="11"/>
      <c r="N84" s="4"/>
    </row>
    <row r="85" spans="10:15" x14ac:dyDescent="0.3">
      <c r="J85" s="11"/>
      <c r="K85" s="11"/>
      <c r="L85" s="11"/>
      <c r="N85" s="4"/>
    </row>
    <row r="86" spans="10:15" x14ac:dyDescent="0.3">
      <c r="J86" s="11"/>
      <c r="K86" s="11"/>
      <c r="L86" s="11"/>
      <c r="N86" s="4"/>
    </row>
    <row r="87" spans="10:15" x14ac:dyDescent="0.3">
      <c r="J87" s="11"/>
      <c r="K87" s="11"/>
      <c r="N87" s="4"/>
    </row>
    <row r="88" spans="10:15" x14ac:dyDescent="0.3">
      <c r="J88" s="11"/>
      <c r="K88" s="11"/>
      <c r="N88" s="4"/>
    </row>
    <row r="89" spans="10:15" x14ac:dyDescent="0.3">
      <c r="J89" s="11"/>
      <c r="K89" s="11"/>
      <c r="N89" s="4"/>
    </row>
    <row r="90" spans="10:15" x14ac:dyDescent="0.3">
      <c r="J90" s="11"/>
      <c r="K90" s="11"/>
      <c r="N90" s="4"/>
    </row>
    <row r="91" spans="10:15" x14ac:dyDescent="0.3">
      <c r="J91" s="11"/>
      <c r="K91" s="11"/>
      <c r="N91" s="4"/>
    </row>
    <row r="92" spans="10:15" x14ac:dyDescent="0.3">
      <c r="J92" s="11"/>
      <c r="K92" s="11"/>
      <c r="N92" s="4"/>
    </row>
    <row r="93" spans="10:15" x14ac:dyDescent="0.3">
      <c r="J93" s="11"/>
      <c r="K93" s="11"/>
      <c r="N93" s="4"/>
    </row>
    <row r="94" spans="10:15" x14ac:dyDescent="0.3">
      <c r="J94" s="11"/>
      <c r="K94" s="11"/>
      <c r="N94" s="4"/>
    </row>
    <row r="95" spans="10:15" x14ac:dyDescent="0.3">
      <c r="J95" s="11"/>
      <c r="K95" s="11"/>
      <c r="N95" s="4"/>
    </row>
    <row r="96" spans="10:15" x14ac:dyDescent="0.3">
      <c r="J96" s="11"/>
      <c r="K96" s="11"/>
      <c r="N96" s="4"/>
    </row>
    <row r="97" spans="10:14" x14ac:dyDescent="0.3">
      <c r="J97" s="11"/>
      <c r="K97" s="11"/>
      <c r="N97" s="4"/>
    </row>
    <row r="98" spans="10:14" x14ac:dyDescent="0.3">
      <c r="J98" s="11"/>
      <c r="K98" s="11"/>
      <c r="N98" s="4"/>
    </row>
    <row r="99" spans="10:14" x14ac:dyDescent="0.3">
      <c r="J99" s="11"/>
      <c r="K99" s="11"/>
      <c r="N99" s="4"/>
    </row>
    <row r="100" spans="10:14" x14ac:dyDescent="0.3">
      <c r="J100" s="11"/>
      <c r="K100" s="11"/>
      <c r="N100" s="4"/>
    </row>
    <row r="101" spans="10:14" x14ac:dyDescent="0.3">
      <c r="J101" s="11"/>
      <c r="K101" s="11"/>
      <c r="N101" s="4"/>
    </row>
    <row r="102" spans="10:14" x14ac:dyDescent="0.3">
      <c r="J102" s="11"/>
      <c r="K102" s="11"/>
      <c r="N102" s="4"/>
    </row>
    <row r="103" spans="10:14" x14ac:dyDescent="0.3">
      <c r="J103" s="11"/>
      <c r="K103" s="11"/>
      <c r="N103" s="4"/>
    </row>
    <row r="104" spans="10:14" x14ac:dyDescent="0.3">
      <c r="J104" s="11"/>
      <c r="K104" s="11"/>
      <c r="N104" s="4"/>
    </row>
    <row r="105" spans="10:14" x14ac:dyDescent="0.3">
      <c r="J105" s="11"/>
      <c r="K105" s="11"/>
      <c r="N105" s="4"/>
    </row>
    <row r="106" spans="10:14" x14ac:dyDescent="0.3">
      <c r="J106" s="11"/>
      <c r="K106" s="11"/>
      <c r="N106" s="4"/>
    </row>
    <row r="107" spans="10:14" x14ac:dyDescent="0.3">
      <c r="J107" s="11"/>
      <c r="K107" s="11"/>
      <c r="N107" s="4"/>
    </row>
    <row r="108" spans="10:14" x14ac:dyDescent="0.3">
      <c r="J108" s="11"/>
      <c r="K108" s="11"/>
      <c r="N108" s="4"/>
    </row>
    <row r="109" spans="10:14" x14ac:dyDescent="0.3">
      <c r="J109" s="11"/>
      <c r="K109" s="11"/>
      <c r="N109" s="4"/>
    </row>
    <row r="110" spans="10:14" x14ac:dyDescent="0.3">
      <c r="J110" s="11"/>
      <c r="K110" s="11"/>
      <c r="N110" s="4"/>
    </row>
    <row r="111" spans="10:14" x14ac:dyDescent="0.3">
      <c r="J111" s="11"/>
      <c r="K111" s="11"/>
      <c r="N111" s="4"/>
    </row>
    <row r="112" spans="10:14" x14ac:dyDescent="0.3">
      <c r="J112" s="11"/>
      <c r="K112" s="11"/>
      <c r="N112" s="4"/>
    </row>
    <row r="113" spans="10:14" x14ac:dyDescent="0.3">
      <c r="J113" s="11"/>
      <c r="K113" s="11"/>
      <c r="N113" s="4"/>
    </row>
    <row r="114" spans="10:14" x14ac:dyDescent="0.3">
      <c r="J114" s="11"/>
      <c r="K114" s="11"/>
      <c r="N114" s="4"/>
    </row>
    <row r="115" spans="10:14" x14ac:dyDescent="0.3">
      <c r="J115" s="11"/>
      <c r="K115" s="11"/>
      <c r="N115" s="4"/>
    </row>
    <row r="116" spans="10:14" x14ac:dyDescent="0.3">
      <c r="J116" s="11"/>
      <c r="K116" s="11"/>
      <c r="N116" s="4"/>
    </row>
    <row r="117" spans="10:14" x14ac:dyDescent="0.3">
      <c r="J117" s="11"/>
      <c r="K117" s="11"/>
      <c r="N117" s="4"/>
    </row>
    <row r="118" spans="10:14" x14ac:dyDescent="0.3">
      <c r="J118" s="11"/>
      <c r="K118" s="11"/>
      <c r="N118" s="4"/>
    </row>
    <row r="119" spans="10:14" x14ac:dyDescent="0.3">
      <c r="J119" s="11"/>
      <c r="K119" s="11"/>
      <c r="N119" s="4"/>
    </row>
    <row r="120" spans="10:14" x14ac:dyDescent="0.3">
      <c r="J120" s="11"/>
      <c r="K120" s="11"/>
      <c r="N120" s="4"/>
    </row>
    <row r="121" spans="10:14" x14ac:dyDescent="0.3">
      <c r="J121" s="11"/>
      <c r="K121" s="11"/>
      <c r="N121" s="4"/>
    </row>
    <row r="122" spans="10:14" x14ac:dyDescent="0.3">
      <c r="J122" s="11"/>
      <c r="K122" s="11"/>
      <c r="N122" s="4"/>
    </row>
    <row r="123" spans="10:14" x14ac:dyDescent="0.3">
      <c r="J123" s="11"/>
      <c r="K123" s="11"/>
      <c r="N123" s="4"/>
    </row>
    <row r="124" spans="10:14" x14ac:dyDescent="0.3">
      <c r="J124" s="11"/>
      <c r="K124" s="11"/>
      <c r="N124" s="4"/>
    </row>
    <row r="125" spans="10:14" x14ac:dyDescent="0.3">
      <c r="J125" s="11"/>
      <c r="K125" s="11"/>
      <c r="N125" s="4"/>
    </row>
    <row r="126" spans="10:14" x14ac:dyDescent="0.3">
      <c r="J126" s="11"/>
      <c r="K126" s="11"/>
      <c r="N126" s="4"/>
    </row>
    <row r="127" spans="10:14" x14ac:dyDescent="0.3">
      <c r="J127" s="11"/>
      <c r="K127" s="11"/>
      <c r="N127" s="4"/>
    </row>
    <row r="128" spans="10:14" x14ac:dyDescent="0.3">
      <c r="J128" s="11"/>
      <c r="K128" s="11"/>
      <c r="N128" s="4"/>
    </row>
    <row r="129" spans="10:14" x14ac:dyDescent="0.3">
      <c r="J129" s="11"/>
      <c r="K129" s="11"/>
      <c r="N129" s="4"/>
    </row>
    <row r="130" spans="10:14" x14ac:dyDescent="0.3">
      <c r="J130" s="11"/>
      <c r="K130" s="11"/>
      <c r="N130" s="4"/>
    </row>
    <row r="131" spans="10:14" x14ac:dyDescent="0.3">
      <c r="J131" s="11"/>
      <c r="K131" s="11"/>
      <c r="N131" s="4"/>
    </row>
    <row r="132" spans="10:14" x14ac:dyDescent="0.3">
      <c r="J132" s="11"/>
      <c r="K132" s="11"/>
      <c r="N132" s="4"/>
    </row>
    <row r="133" spans="10:14" x14ac:dyDescent="0.3">
      <c r="J133" s="11"/>
      <c r="K133" s="11"/>
      <c r="N133" s="4"/>
    </row>
    <row r="134" spans="10:14" x14ac:dyDescent="0.3">
      <c r="J134" s="11"/>
      <c r="K134" s="11"/>
      <c r="N134" s="4"/>
    </row>
    <row r="135" spans="10:14" x14ac:dyDescent="0.3">
      <c r="J135" s="11"/>
      <c r="K135" s="11"/>
      <c r="N135" s="4"/>
    </row>
    <row r="136" spans="10:14" x14ac:dyDescent="0.3">
      <c r="J136" s="11"/>
      <c r="K136" s="11"/>
      <c r="N136" s="4"/>
    </row>
    <row r="137" spans="10:14" x14ac:dyDescent="0.3">
      <c r="J137" s="11"/>
      <c r="K137" s="11"/>
      <c r="N137" s="4"/>
    </row>
    <row r="138" spans="10:14" x14ac:dyDescent="0.3">
      <c r="J138" s="11"/>
      <c r="K138" s="11"/>
      <c r="N138" s="4"/>
    </row>
    <row r="139" spans="10:14" x14ac:dyDescent="0.3">
      <c r="J139" s="11"/>
      <c r="K139" s="11"/>
      <c r="N139" s="4"/>
    </row>
    <row r="140" spans="10:14" x14ac:dyDescent="0.3">
      <c r="J140" s="11"/>
      <c r="K140" s="11"/>
      <c r="N140" s="4"/>
    </row>
    <row r="141" spans="10:14" x14ac:dyDescent="0.3">
      <c r="J141" s="11"/>
      <c r="K141" s="11"/>
      <c r="N141" s="4"/>
    </row>
    <row r="142" spans="10:14" x14ac:dyDescent="0.3">
      <c r="J142" s="11"/>
      <c r="K142" s="11"/>
      <c r="N142" s="4"/>
    </row>
    <row r="143" spans="10:14" x14ac:dyDescent="0.3">
      <c r="J143" s="11"/>
      <c r="K143" s="11"/>
      <c r="N143" s="4"/>
    </row>
    <row r="144" spans="10:14" x14ac:dyDescent="0.3">
      <c r="J144" s="11"/>
      <c r="K144" s="11"/>
      <c r="N144" s="4"/>
    </row>
    <row r="145" spans="10:14" x14ac:dyDescent="0.3">
      <c r="J145" s="11"/>
      <c r="K145" s="11"/>
      <c r="N145" s="4"/>
    </row>
    <row r="146" spans="10:14" x14ac:dyDescent="0.3">
      <c r="J146" s="11"/>
      <c r="K146" s="11"/>
      <c r="L146" s="11"/>
      <c r="N146" s="4"/>
    </row>
    <row r="147" spans="10:14" x14ac:dyDescent="0.3">
      <c r="J147" s="11"/>
      <c r="K147" s="11"/>
      <c r="L147" s="11"/>
      <c r="N147" s="4"/>
    </row>
    <row r="148" spans="10:14" x14ac:dyDescent="0.3">
      <c r="J148" s="11"/>
      <c r="K148" s="11"/>
      <c r="L148" s="11"/>
      <c r="N148" s="4"/>
    </row>
    <row r="149" spans="10:14" x14ac:dyDescent="0.3">
      <c r="J149" s="11"/>
      <c r="K149" s="11"/>
      <c r="L149" s="11"/>
      <c r="N149" s="4"/>
    </row>
    <row r="150" spans="10:14" x14ac:dyDescent="0.3">
      <c r="J150" s="11"/>
      <c r="K150" s="11"/>
      <c r="N150" s="4"/>
    </row>
    <row r="151" spans="10:14" x14ac:dyDescent="0.3">
      <c r="J151" s="11"/>
      <c r="K151" s="11"/>
      <c r="N151" s="4"/>
    </row>
    <row r="152" spans="10:14" x14ac:dyDescent="0.3">
      <c r="J152" s="11"/>
      <c r="K152" s="11"/>
      <c r="N152" s="4"/>
    </row>
    <row r="153" spans="10:14" x14ac:dyDescent="0.3">
      <c r="J153" s="11"/>
      <c r="K153" s="11"/>
      <c r="N153" s="4"/>
    </row>
    <row r="154" spans="10:14" x14ac:dyDescent="0.3">
      <c r="J154" s="11"/>
      <c r="K154" s="11"/>
      <c r="N154" s="4"/>
    </row>
    <row r="155" spans="10:14" x14ac:dyDescent="0.3">
      <c r="J155" s="11"/>
      <c r="K155" s="11"/>
      <c r="N155" s="4"/>
    </row>
    <row r="156" spans="10:14" x14ac:dyDescent="0.3">
      <c r="J156" s="11"/>
      <c r="K156" s="11"/>
      <c r="N156" s="4"/>
    </row>
    <row r="157" spans="10:14" x14ac:dyDescent="0.3">
      <c r="J157" s="11"/>
      <c r="K157" s="11"/>
      <c r="N157" s="4"/>
    </row>
    <row r="158" spans="10:14" x14ac:dyDescent="0.3">
      <c r="J158" s="11"/>
      <c r="K158" s="11"/>
      <c r="N158" s="4"/>
    </row>
    <row r="159" spans="10:14" x14ac:dyDescent="0.3">
      <c r="J159" s="11"/>
      <c r="K159" s="11"/>
      <c r="N159" s="4"/>
    </row>
    <row r="160" spans="10:14" x14ac:dyDescent="0.3">
      <c r="J160" s="11"/>
      <c r="K160" s="11"/>
      <c r="N160" s="4"/>
    </row>
    <row r="161" spans="10:14" x14ac:dyDescent="0.3">
      <c r="J161" s="11"/>
      <c r="K161" s="11"/>
      <c r="N161" s="4"/>
    </row>
    <row r="162" spans="10:14" x14ac:dyDescent="0.3">
      <c r="J162" s="11"/>
      <c r="K162" s="11"/>
      <c r="L162" s="11"/>
      <c r="N162" s="4"/>
    </row>
    <row r="163" spans="10:14" x14ac:dyDescent="0.3">
      <c r="J163" s="11"/>
      <c r="K163" s="11"/>
      <c r="L163" s="11"/>
      <c r="N163" s="4"/>
    </row>
    <row r="164" spans="10:14" x14ac:dyDescent="0.3">
      <c r="J164" s="11"/>
      <c r="K164" s="11"/>
      <c r="L164" s="11"/>
      <c r="N164" s="4"/>
    </row>
    <row r="165" spans="10:14" x14ac:dyDescent="0.3">
      <c r="J165" s="11"/>
      <c r="K165" s="11"/>
      <c r="N165" s="4"/>
    </row>
    <row r="166" spans="10:14" x14ac:dyDescent="0.3">
      <c r="J166" s="11"/>
      <c r="K166" s="11"/>
      <c r="N166" s="4"/>
    </row>
    <row r="167" spans="10:14" x14ac:dyDescent="0.3">
      <c r="J167" s="11"/>
      <c r="K167" s="11"/>
      <c r="N167" s="4"/>
    </row>
    <row r="168" spans="10:14" x14ac:dyDescent="0.3">
      <c r="J168" s="11"/>
      <c r="K168" s="11"/>
      <c r="N168" s="4"/>
    </row>
    <row r="169" spans="10:14" x14ac:dyDescent="0.3">
      <c r="J169" s="11"/>
      <c r="K169" s="11"/>
      <c r="N169" s="4"/>
    </row>
    <row r="170" spans="10:14" x14ac:dyDescent="0.3">
      <c r="J170" s="11"/>
      <c r="K170" s="11"/>
      <c r="N170" s="4"/>
    </row>
    <row r="171" spans="10:14" x14ac:dyDescent="0.3">
      <c r="J171" s="11"/>
      <c r="K171" s="11"/>
      <c r="N171" s="4"/>
    </row>
    <row r="172" spans="10:14" x14ac:dyDescent="0.3">
      <c r="J172" s="11"/>
      <c r="K172" s="11"/>
      <c r="N172" s="4"/>
    </row>
    <row r="173" spans="10:14" x14ac:dyDescent="0.3">
      <c r="J173" s="11"/>
      <c r="K173" s="11"/>
      <c r="N173" s="4"/>
    </row>
    <row r="174" spans="10:14" x14ac:dyDescent="0.3">
      <c r="J174" s="11"/>
      <c r="K174" s="11"/>
      <c r="N174" s="4"/>
    </row>
    <row r="175" spans="10:14" x14ac:dyDescent="0.3">
      <c r="J175" s="11"/>
      <c r="K175" s="11"/>
      <c r="N175" s="4"/>
    </row>
    <row r="176" spans="10:14" x14ac:dyDescent="0.3">
      <c r="J176" s="11"/>
      <c r="K176" s="11"/>
      <c r="N176" s="4"/>
    </row>
    <row r="177" spans="10:14" x14ac:dyDescent="0.3">
      <c r="J177" s="11"/>
      <c r="K177" s="11"/>
      <c r="N177" s="4"/>
    </row>
    <row r="178" spans="10:14" x14ac:dyDescent="0.3">
      <c r="J178" s="11"/>
      <c r="K178" s="11"/>
      <c r="N178" s="4"/>
    </row>
    <row r="179" spans="10:14" x14ac:dyDescent="0.3">
      <c r="J179" s="11"/>
      <c r="K179" s="11"/>
      <c r="N179" s="4"/>
    </row>
    <row r="180" spans="10:14" x14ac:dyDescent="0.3">
      <c r="J180" s="11"/>
      <c r="K180" s="11"/>
      <c r="N180" s="4"/>
    </row>
    <row r="181" spans="10:14" x14ac:dyDescent="0.3">
      <c r="J181" s="11"/>
      <c r="K181" s="11"/>
      <c r="N181" s="4"/>
    </row>
    <row r="182" spans="10:14" x14ac:dyDescent="0.3">
      <c r="J182" s="11"/>
      <c r="K182" s="11"/>
      <c r="N182" s="4"/>
    </row>
    <row r="183" spans="10:14" x14ac:dyDescent="0.3">
      <c r="J183" s="11"/>
      <c r="K183" s="11"/>
      <c r="N183" s="4"/>
    </row>
    <row r="184" spans="10:14" x14ac:dyDescent="0.3">
      <c r="J184" s="11"/>
      <c r="K184" s="11"/>
      <c r="N184" s="4"/>
    </row>
    <row r="185" spans="10:14" x14ac:dyDescent="0.3">
      <c r="J185" s="11"/>
      <c r="K185" s="11"/>
      <c r="N185" s="4"/>
    </row>
    <row r="186" spans="10:14" x14ac:dyDescent="0.3">
      <c r="J186" s="11"/>
      <c r="K186" s="11"/>
      <c r="N186" s="4"/>
    </row>
    <row r="187" spans="10:14" x14ac:dyDescent="0.3">
      <c r="J187" s="11"/>
      <c r="K187" s="11"/>
      <c r="N187" s="4"/>
    </row>
    <row r="188" spans="10:14" x14ac:dyDescent="0.3">
      <c r="J188" s="11"/>
      <c r="K188" s="11"/>
      <c r="N188" s="4"/>
    </row>
    <row r="189" spans="10:14" x14ac:dyDescent="0.3">
      <c r="J189" s="11"/>
      <c r="K189" s="11"/>
      <c r="N189" s="4"/>
    </row>
    <row r="190" spans="10:14" x14ac:dyDescent="0.3">
      <c r="J190" s="11"/>
      <c r="K190" s="11"/>
      <c r="N190" s="4"/>
    </row>
    <row r="191" spans="10:14" x14ac:dyDescent="0.3">
      <c r="J191" s="11"/>
      <c r="K191" s="11"/>
      <c r="N191" s="4"/>
    </row>
    <row r="192" spans="10:14" x14ac:dyDescent="0.3">
      <c r="J192" s="11"/>
      <c r="K192" s="11"/>
      <c r="N192" s="4"/>
    </row>
    <row r="193" spans="10:14" x14ac:dyDescent="0.3">
      <c r="J193" s="11"/>
      <c r="K193" s="11"/>
      <c r="N193" s="4"/>
    </row>
    <row r="194" spans="10:14" x14ac:dyDescent="0.3">
      <c r="J194" s="11"/>
      <c r="K194" s="11"/>
      <c r="L194" s="11"/>
      <c r="N194" s="4"/>
    </row>
    <row r="195" spans="10:14" x14ac:dyDescent="0.3">
      <c r="J195" s="11"/>
      <c r="K195" s="11"/>
      <c r="N195" s="4"/>
    </row>
    <row r="196" spans="10:14" x14ac:dyDescent="0.3">
      <c r="J196" s="11"/>
      <c r="K196" s="11"/>
      <c r="N196" s="4"/>
    </row>
    <row r="197" spans="10:14" x14ac:dyDescent="0.3">
      <c r="J197" s="11"/>
      <c r="K197" s="11"/>
      <c r="N197" s="4"/>
    </row>
    <row r="198" spans="10:14" x14ac:dyDescent="0.3">
      <c r="J198" s="11"/>
      <c r="K198" s="11"/>
      <c r="N198" s="4"/>
    </row>
    <row r="199" spans="10:14" x14ac:dyDescent="0.3">
      <c r="J199" s="11"/>
      <c r="K199" s="11"/>
      <c r="N199" s="4"/>
    </row>
    <row r="200" spans="10:14" x14ac:dyDescent="0.3">
      <c r="J200" s="11"/>
      <c r="K200" s="11"/>
      <c r="N200" s="4"/>
    </row>
    <row r="201" spans="10:14" x14ac:dyDescent="0.3">
      <c r="J201" s="11"/>
      <c r="K201" s="11"/>
      <c r="N201" s="4"/>
    </row>
  </sheetData>
  <autoFilter ref="A1:N1" xr:uid="{15D91737-F968-4E4F-A01E-337200C1E7C8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2016-2019</vt:lpstr>
      <vt:lpstr>2020-2023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Steingard</dc:creator>
  <cp:lastModifiedBy>Dylan Flynn</cp:lastModifiedBy>
  <dcterms:created xsi:type="dcterms:W3CDTF">2024-10-04T15:14:33Z</dcterms:created>
  <dcterms:modified xsi:type="dcterms:W3CDTF">2024-12-18T15:54:38Z</dcterms:modified>
</cp:coreProperties>
</file>