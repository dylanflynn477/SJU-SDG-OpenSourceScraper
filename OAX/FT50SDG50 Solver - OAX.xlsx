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lan\OneDrive\Desktop\OAX\sju-oax\"/>
    </mc:Choice>
  </mc:AlternateContent>
  <xr:revisionPtr revIDLastSave="0" documentId="13_ncr:1_{3E5F29FC-F8C5-4121-9A17-78AD25FD18FE}" xr6:coauthVersionLast="47" xr6:coauthVersionMax="47" xr10:uidLastSave="{00000000-0000-0000-0000-000000000000}"/>
  <bookViews>
    <workbookView xWindow="-108" yWindow="-108" windowWidth="23256" windowHeight="12456" activeTab="1" xr2:uid="{BE807192-C693-9F4A-968B-E7FF5FD48132}"/>
  </bookViews>
  <sheets>
    <sheet name="2015-2019" sheetId="3" r:id="rId1"/>
    <sheet name="2020_2024" sheetId="2" r:id="rId2"/>
  </sheets>
  <definedNames>
    <definedName name="_xlnm._FilterDatabase" localSheetId="0" hidden="1">'2015-2019'!$A$1:$O$1</definedName>
    <definedName name="_xlnm._FilterDatabase" localSheetId="1" hidden="1">'2020_2024'!$A$1:$O$1</definedName>
    <definedName name="solver_adj" localSheetId="0" hidden="1">'2015-2019'!$R$1:$S$1,'2015-2019'!$V$1:$AA$1</definedName>
    <definedName name="solver_adj" localSheetId="1" hidden="1">'2020_2024'!$R$1:$S$1,'2020_2024'!$V$1:$AA$1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3</definedName>
    <definedName name="solver_eng" localSheetId="1" hidden="1">3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'2015-2019'!#REF!</definedName>
    <definedName name="solver_lhs1" localSheetId="1" hidden="1">'2020_2024'!#REF!</definedName>
    <definedName name="solver_lhs10" localSheetId="0" hidden="1">'2015-2019'!$AA$1</definedName>
    <definedName name="solver_lhs10" localSheetId="1" hidden="1">'2020_2024'!$AA$1</definedName>
    <definedName name="solver_lhs11" localSheetId="0" hidden="1">'2015-2019'!$R$1</definedName>
    <definedName name="solver_lhs11" localSheetId="1" hidden="1">'2020_2024'!$R$1</definedName>
    <definedName name="solver_lhs2" localSheetId="0" hidden="1">'2015-2019'!$T$1</definedName>
    <definedName name="solver_lhs2" localSheetId="1" hidden="1">'2020_2024'!$T$1</definedName>
    <definedName name="solver_lhs3" localSheetId="0" hidden="1">'2015-2019'!$S$1</definedName>
    <definedName name="solver_lhs3" localSheetId="1" hidden="1">'2020_2024'!$S$1</definedName>
    <definedName name="solver_lhs4" localSheetId="0" hidden="1">'2015-2019'!$V$1</definedName>
    <definedName name="solver_lhs4" localSheetId="1" hidden="1">'2020_2024'!$V$1</definedName>
    <definedName name="solver_lhs5" localSheetId="0" hidden="1">'2015-2019'!$W$1</definedName>
    <definedName name="solver_lhs5" localSheetId="1" hidden="1">'2020_2024'!$W$1</definedName>
    <definedName name="solver_lhs6" localSheetId="0" hidden="1">'2015-2019'!$X$1</definedName>
    <definedName name="solver_lhs6" localSheetId="1" hidden="1">'2020_2024'!$X$1</definedName>
    <definedName name="solver_lhs7" localSheetId="0" hidden="1">'2015-2019'!$Y$1</definedName>
    <definedName name="solver_lhs7" localSheetId="1" hidden="1">'2020_2024'!$Y$1</definedName>
    <definedName name="solver_lhs8" localSheetId="0" hidden="1">'2015-2019'!$Z$1</definedName>
    <definedName name="solver_lhs8" localSheetId="1" hidden="1">'2020_2024'!$Z$1</definedName>
    <definedName name="solver_lhs9" localSheetId="0" hidden="1">'2015-2019'!$AA$1</definedName>
    <definedName name="solver_lhs9" localSheetId="1" hidden="1">'2020_2024'!$AA$1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11</definedName>
    <definedName name="solver_num" localSheetId="1" hidden="1">11</definedName>
    <definedName name="solver_nwt" localSheetId="0" hidden="1">1</definedName>
    <definedName name="solver_nwt" localSheetId="1" hidden="1">1</definedName>
    <definedName name="solver_opt" localSheetId="0" hidden="1">'2015-2019'!$AC$1</definedName>
    <definedName name="solver_opt" localSheetId="1" hidden="1">'2020_2024'!$AC$1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10" localSheetId="0" hidden="1">3</definedName>
    <definedName name="solver_rel10" localSheetId="1" hidden="1">3</definedName>
    <definedName name="solver_rel11" localSheetId="0" hidden="1">3</definedName>
    <definedName name="solver_rel11" localSheetId="1" hidden="1">3</definedName>
    <definedName name="solver_rel2" localSheetId="0" hidden="1">2</definedName>
    <definedName name="solver_rel2" localSheetId="1" hidden="1">2</definedName>
    <definedName name="solver_rel3" localSheetId="0" hidden="1">3</definedName>
    <definedName name="solver_rel3" localSheetId="1" hidden="1">3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el7" localSheetId="0" hidden="1">1</definedName>
    <definedName name="solver_rel7" localSheetId="1" hidden="1">1</definedName>
    <definedName name="solver_rel8" localSheetId="0" hidden="1">1</definedName>
    <definedName name="solver_rel8" localSheetId="1" hidden="1">1</definedName>
    <definedName name="solver_rel9" localSheetId="0" hidden="1">1</definedName>
    <definedName name="solver_rel9" localSheetId="1" hidden="1">1</definedName>
    <definedName name="solver_rhs1" localSheetId="0" hidden="1">0.1</definedName>
    <definedName name="solver_rhs1" localSheetId="1" hidden="1">0.1</definedName>
    <definedName name="solver_rhs10" localSheetId="0" hidden="1">0</definedName>
    <definedName name="solver_rhs10" localSheetId="1" hidden="1">0</definedName>
    <definedName name="solver_rhs11" localSheetId="0" hidden="1">0.1</definedName>
    <definedName name="solver_rhs11" localSheetId="1" hidden="1">0.1</definedName>
    <definedName name="solver_rhs2" localSheetId="0" hidden="1">1</definedName>
    <definedName name="solver_rhs2" localSheetId="1" hidden="1">1</definedName>
    <definedName name="solver_rhs3" localSheetId="0" hidden="1">0.1</definedName>
    <definedName name="solver_rhs3" localSheetId="1" hidden="1">0.1</definedName>
    <definedName name="solver_rhs4" localSheetId="0" hidden="1">100</definedName>
    <definedName name="solver_rhs4" localSheetId="1" hidden="1">100</definedName>
    <definedName name="solver_rhs5" localSheetId="0" hidden="1">'2015-2019'!$V$1</definedName>
    <definedName name="solver_rhs5" localSheetId="1" hidden="1">'2020_2024'!$V$1</definedName>
    <definedName name="solver_rhs6" localSheetId="0" hidden="1">'2015-2019'!$W$1</definedName>
    <definedName name="solver_rhs6" localSheetId="1" hidden="1">'2020_2024'!$W$1</definedName>
    <definedName name="solver_rhs7" localSheetId="0" hidden="1">'2015-2019'!$X$1</definedName>
    <definedName name="solver_rhs7" localSheetId="1" hidden="1">'2020_2024'!$X$1</definedName>
    <definedName name="solver_rhs8" localSheetId="0" hidden="1">'2015-2019'!$Y$1</definedName>
    <definedName name="solver_rhs8" localSheetId="1" hidden="1">'2020_2024'!$Y$1</definedName>
    <definedName name="solver_rhs9" localSheetId="0" hidden="1">'2015-2019'!$Z$1</definedName>
    <definedName name="solver_rhs9" localSheetId="1" hidden="1">'2020_2024'!$Z$1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3" l="1"/>
  <c r="R1" i="2"/>
  <c r="S1" i="3" l="1"/>
  <c r="G57" i="3" s="1"/>
  <c r="K57" i="3" s="1"/>
  <c r="O57" i="3" s="1"/>
  <c r="G100" i="3"/>
  <c r="K100" i="3" s="1"/>
  <c r="O100" i="3" s="1"/>
  <c r="G86" i="3"/>
  <c r="K86" i="3" s="1"/>
  <c r="O86" i="3" s="1"/>
  <c r="G70" i="3"/>
  <c r="K70" i="3" s="1"/>
  <c r="O70" i="3" s="1"/>
  <c r="G56" i="3"/>
  <c r="K56" i="3" s="1"/>
  <c r="O56" i="3" s="1"/>
  <c r="G42" i="3"/>
  <c r="G28" i="3"/>
  <c r="K28" i="3" s="1"/>
  <c r="O28" i="3" s="1"/>
  <c r="G14" i="3"/>
  <c r="K14" i="3" s="1"/>
  <c r="O14" i="3" s="1"/>
  <c r="G71" i="3"/>
  <c r="K71" i="3" s="1"/>
  <c r="O71" i="3" s="1"/>
  <c r="G59" i="3"/>
  <c r="K59" i="3" s="1"/>
  <c r="O59" i="3" s="1"/>
  <c r="G60" i="2"/>
  <c r="K60" i="2" s="1"/>
  <c r="G48" i="2"/>
  <c r="K48" i="2" s="1"/>
  <c r="G36" i="2"/>
  <c r="K36" i="2" s="1"/>
  <c r="G24" i="2"/>
  <c r="K24" i="2" s="1"/>
  <c r="G12" i="2"/>
  <c r="K12" i="2" s="1"/>
  <c r="G97" i="2"/>
  <c r="K97" i="2" s="1"/>
  <c r="G85" i="2"/>
  <c r="K85" i="2" s="1"/>
  <c r="G95" i="2"/>
  <c r="K95" i="2" s="1"/>
  <c r="G83" i="2"/>
  <c r="K83" i="2" s="1"/>
  <c r="G71" i="2"/>
  <c r="K71" i="2" s="1"/>
  <c r="G59" i="2"/>
  <c r="K59" i="2" s="1"/>
  <c r="G47" i="2"/>
  <c r="K47" i="2" s="1"/>
  <c r="G35" i="2"/>
  <c r="K35" i="2" s="1"/>
  <c r="G23" i="2"/>
  <c r="K23" i="2" s="1"/>
  <c r="T1" i="3"/>
  <c r="K42" i="3"/>
  <c r="O42" i="3" s="1"/>
  <c r="S1" i="2"/>
  <c r="G13" i="2" s="1"/>
  <c r="K13" i="2" s="1"/>
  <c r="G101" i="3" l="1"/>
  <c r="K101" i="3" s="1"/>
  <c r="O101" i="3" s="1"/>
  <c r="G87" i="3"/>
  <c r="K87" i="3" s="1"/>
  <c r="O87" i="3" s="1"/>
  <c r="G12" i="3"/>
  <c r="K12" i="3" s="1"/>
  <c r="O12" i="3" s="1"/>
  <c r="G24" i="3"/>
  <c r="K24" i="3" s="1"/>
  <c r="O24" i="3" s="1"/>
  <c r="G11" i="3"/>
  <c r="K11" i="3" s="1"/>
  <c r="O11" i="3" s="1"/>
  <c r="G83" i="3"/>
  <c r="K83" i="3" s="1"/>
  <c r="O83" i="3" s="1"/>
  <c r="G95" i="3"/>
  <c r="K95" i="3" s="1"/>
  <c r="O95" i="3" s="1"/>
  <c r="G36" i="3"/>
  <c r="K36" i="3" s="1"/>
  <c r="O36" i="3" s="1"/>
  <c r="G15" i="3"/>
  <c r="K15" i="3" s="1"/>
  <c r="O15" i="3" s="1"/>
  <c r="G43" i="3"/>
  <c r="K43" i="3" s="1"/>
  <c r="O43" i="3" s="1"/>
  <c r="G48" i="3"/>
  <c r="K48" i="3" s="1"/>
  <c r="O48" i="3" s="1"/>
  <c r="G60" i="3"/>
  <c r="K60" i="3" s="1"/>
  <c r="O60" i="3" s="1"/>
  <c r="G72" i="3"/>
  <c r="K72" i="3" s="1"/>
  <c r="O72" i="3" s="1"/>
  <c r="G35" i="3"/>
  <c r="K35" i="3" s="1"/>
  <c r="O35" i="3" s="1"/>
  <c r="G84" i="3"/>
  <c r="K84" i="3" s="1"/>
  <c r="O84" i="3" s="1"/>
  <c r="G13" i="3"/>
  <c r="K13" i="3" s="1"/>
  <c r="O13" i="3" s="1"/>
  <c r="G16" i="3"/>
  <c r="K16" i="3" s="1"/>
  <c r="O16" i="3" s="1"/>
  <c r="G58" i="3"/>
  <c r="K58" i="3" s="1"/>
  <c r="O58" i="3" s="1"/>
  <c r="G88" i="3"/>
  <c r="K88" i="3" s="1"/>
  <c r="O88" i="3" s="1"/>
  <c r="G31" i="3"/>
  <c r="K31" i="3" s="1"/>
  <c r="O31" i="3" s="1"/>
  <c r="G61" i="3"/>
  <c r="K61" i="3" s="1"/>
  <c r="O61" i="3" s="1"/>
  <c r="G89" i="3"/>
  <c r="K89" i="3" s="1"/>
  <c r="O89" i="3" s="1"/>
  <c r="G3" i="3"/>
  <c r="K3" i="3" s="1"/>
  <c r="O3" i="3" s="1"/>
  <c r="G62" i="3"/>
  <c r="K62" i="3" s="1"/>
  <c r="O62" i="3" s="1"/>
  <c r="G90" i="3"/>
  <c r="K90" i="3" s="1"/>
  <c r="O90" i="3" s="1"/>
  <c r="G4" i="3"/>
  <c r="K4" i="3" s="1"/>
  <c r="O4" i="3" s="1"/>
  <c r="G19" i="3"/>
  <c r="K19" i="3" s="1"/>
  <c r="O19" i="3" s="1"/>
  <c r="G49" i="3"/>
  <c r="K49" i="3" s="1"/>
  <c r="O49" i="3" s="1"/>
  <c r="G77" i="3"/>
  <c r="K77" i="3" s="1"/>
  <c r="O77" i="3" s="1"/>
  <c r="G91" i="3"/>
  <c r="K91" i="3" s="1"/>
  <c r="O91" i="3" s="1"/>
  <c r="G5" i="3"/>
  <c r="K5" i="3" s="1"/>
  <c r="O5" i="3" s="1"/>
  <c r="G34" i="3"/>
  <c r="K34" i="3" s="1"/>
  <c r="O34" i="3" s="1"/>
  <c r="G78" i="3"/>
  <c r="K78" i="3" s="1"/>
  <c r="O78" i="3" s="1"/>
  <c r="G21" i="3"/>
  <c r="K21" i="3" s="1"/>
  <c r="O21" i="3" s="1"/>
  <c r="G51" i="3"/>
  <c r="K51" i="3" s="1"/>
  <c r="O51" i="3" s="1"/>
  <c r="G79" i="3"/>
  <c r="K79" i="3" s="1"/>
  <c r="O79" i="3" s="1"/>
  <c r="G22" i="3"/>
  <c r="K22" i="3" s="1"/>
  <c r="O22" i="3" s="1"/>
  <c r="G52" i="3"/>
  <c r="K52" i="3" s="1"/>
  <c r="O52" i="3" s="1"/>
  <c r="G80" i="3"/>
  <c r="K80" i="3" s="1"/>
  <c r="O80" i="3" s="1"/>
  <c r="G25" i="3"/>
  <c r="K25" i="3" s="1"/>
  <c r="O25" i="3" s="1"/>
  <c r="G67" i="3"/>
  <c r="K67" i="3" s="1"/>
  <c r="O67" i="3" s="1"/>
  <c r="G9" i="3"/>
  <c r="K9" i="3" s="1"/>
  <c r="O9" i="3" s="1"/>
  <c r="G54" i="3"/>
  <c r="K54" i="3" s="1"/>
  <c r="O54" i="3" s="1"/>
  <c r="G41" i="3"/>
  <c r="K41" i="3" s="1"/>
  <c r="O41" i="3" s="1"/>
  <c r="G99" i="3"/>
  <c r="K99" i="3" s="1"/>
  <c r="O99" i="3" s="1"/>
  <c r="G30" i="3"/>
  <c r="K30" i="3" s="1"/>
  <c r="O30" i="3" s="1"/>
  <c r="G74" i="3"/>
  <c r="K74" i="3" s="1"/>
  <c r="O74" i="3" s="1"/>
  <c r="G2" i="3"/>
  <c r="K2" i="3" s="1"/>
  <c r="O2" i="3" s="1"/>
  <c r="AC1" i="3" s="1"/>
  <c r="G17" i="3"/>
  <c r="K17" i="3" s="1"/>
  <c r="O17" i="3" s="1"/>
  <c r="G45" i="3"/>
  <c r="K45" i="3" s="1"/>
  <c r="O45" i="3" s="1"/>
  <c r="G75" i="3"/>
  <c r="K75" i="3" s="1"/>
  <c r="O75" i="3" s="1"/>
  <c r="G18" i="3"/>
  <c r="K18" i="3" s="1"/>
  <c r="O18" i="3" s="1"/>
  <c r="G32" i="3"/>
  <c r="K32" i="3" s="1"/>
  <c r="O32" i="3" s="1"/>
  <c r="G46" i="3"/>
  <c r="K46" i="3" s="1"/>
  <c r="O46" i="3" s="1"/>
  <c r="G76" i="3"/>
  <c r="K76" i="3" s="1"/>
  <c r="O76" i="3" s="1"/>
  <c r="G33" i="3"/>
  <c r="K33" i="3" s="1"/>
  <c r="O33" i="3" s="1"/>
  <c r="G63" i="3"/>
  <c r="K63" i="3" s="1"/>
  <c r="O63" i="3" s="1"/>
  <c r="G20" i="3"/>
  <c r="K20" i="3" s="1"/>
  <c r="O20" i="3" s="1"/>
  <c r="G50" i="3"/>
  <c r="K50" i="3" s="1"/>
  <c r="O50" i="3" s="1"/>
  <c r="G64" i="3"/>
  <c r="K64" i="3" s="1"/>
  <c r="O64" i="3" s="1"/>
  <c r="G92" i="3"/>
  <c r="K92" i="3" s="1"/>
  <c r="O92" i="3" s="1"/>
  <c r="G6" i="3"/>
  <c r="K6" i="3" s="1"/>
  <c r="O6" i="3" s="1"/>
  <c r="G37" i="3"/>
  <c r="K37" i="3" s="1"/>
  <c r="O37" i="3" s="1"/>
  <c r="G65" i="3"/>
  <c r="K65" i="3" s="1"/>
  <c r="O65" i="3" s="1"/>
  <c r="G93" i="3"/>
  <c r="K93" i="3" s="1"/>
  <c r="O93" i="3" s="1"/>
  <c r="G7" i="3"/>
  <c r="K7" i="3" s="1"/>
  <c r="O7" i="3" s="1"/>
  <c r="G38" i="3"/>
  <c r="K38" i="3" s="1"/>
  <c r="O38" i="3" s="1"/>
  <c r="G66" i="3"/>
  <c r="K66" i="3" s="1"/>
  <c r="O66" i="3" s="1"/>
  <c r="G94" i="3"/>
  <c r="K94" i="3" s="1"/>
  <c r="O94" i="3" s="1"/>
  <c r="G8" i="3"/>
  <c r="K8" i="3" s="1"/>
  <c r="O8" i="3" s="1"/>
  <c r="G39" i="3"/>
  <c r="K39" i="3" s="1"/>
  <c r="O39" i="3" s="1"/>
  <c r="G81" i="3"/>
  <c r="K81" i="3" s="1"/>
  <c r="O81" i="3" s="1"/>
  <c r="G26" i="3"/>
  <c r="K26" i="3" s="1"/>
  <c r="O26" i="3" s="1"/>
  <c r="G82" i="3"/>
  <c r="K82" i="3" s="1"/>
  <c r="O82" i="3" s="1"/>
  <c r="G27" i="3"/>
  <c r="K27" i="3" s="1"/>
  <c r="O27" i="3" s="1"/>
  <c r="G69" i="3"/>
  <c r="K69" i="3" s="1"/>
  <c r="O69" i="3" s="1"/>
  <c r="G44" i="3"/>
  <c r="K44" i="3" s="1"/>
  <c r="O44" i="3" s="1"/>
  <c r="G53" i="3"/>
  <c r="K53" i="3" s="1"/>
  <c r="O53" i="3" s="1"/>
  <c r="G97" i="3"/>
  <c r="K97" i="3" s="1"/>
  <c r="O97" i="3" s="1"/>
  <c r="G40" i="3"/>
  <c r="K40" i="3" s="1"/>
  <c r="O40" i="3" s="1"/>
  <c r="G68" i="3"/>
  <c r="K68" i="3" s="1"/>
  <c r="O68" i="3" s="1"/>
  <c r="G98" i="3"/>
  <c r="K98" i="3" s="1"/>
  <c r="O98" i="3" s="1"/>
  <c r="G10" i="3"/>
  <c r="K10" i="3" s="1"/>
  <c r="O10" i="3" s="1"/>
  <c r="G55" i="3"/>
  <c r="K55" i="3" s="1"/>
  <c r="O55" i="3" s="1"/>
  <c r="G85" i="3"/>
  <c r="K85" i="3" s="1"/>
  <c r="O85" i="3" s="1"/>
  <c r="G29" i="3"/>
  <c r="K29" i="3" s="1"/>
  <c r="O29" i="3" s="1"/>
  <c r="G23" i="3"/>
  <c r="K23" i="3" s="1"/>
  <c r="O23" i="3" s="1"/>
  <c r="G47" i="3"/>
  <c r="K47" i="3" s="1"/>
  <c r="O47" i="3" s="1"/>
  <c r="G96" i="3"/>
  <c r="K96" i="3" s="1"/>
  <c r="O96" i="3" s="1"/>
  <c r="G73" i="3"/>
  <c r="K73" i="3" s="1"/>
  <c r="O73" i="3" s="1"/>
  <c r="G25" i="2"/>
  <c r="K25" i="2" s="1"/>
  <c r="O25" i="2" s="1"/>
  <c r="G72" i="2"/>
  <c r="K72" i="2" s="1"/>
  <c r="O72" i="2" s="1"/>
  <c r="G37" i="2"/>
  <c r="K37" i="2" s="1"/>
  <c r="O37" i="2" s="1"/>
  <c r="G96" i="2"/>
  <c r="K96" i="2" s="1"/>
  <c r="G61" i="2"/>
  <c r="K61" i="2" s="1"/>
  <c r="O61" i="2" s="1"/>
  <c r="G26" i="2"/>
  <c r="K26" i="2" s="1"/>
  <c r="O26" i="2" s="1"/>
  <c r="G50" i="2"/>
  <c r="K50" i="2" s="1"/>
  <c r="G74" i="2"/>
  <c r="K74" i="2" s="1"/>
  <c r="G98" i="2"/>
  <c r="K98" i="2" s="1"/>
  <c r="G15" i="2"/>
  <c r="K15" i="2" s="1"/>
  <c r="G27" i="2"/>
  <c r="K27" i="2" s="1"/>
  <c r="G51" i="2"/>
  <c r="K51" i="2" s="1"/>
  <c r="O51" i="2" s="1"/>
  <c r="G75" i="2"/>
  <c r="K75" i="2" s="1"/>
  <c r="G99" i="2"/>
  <c r="K99" i="2" s="1"/>
  <c r="O99" i="2" s="1"/>
  <c r="G16" i="2"/>
  <c r="K16" i="2" s="1"/>
  <c r="O16" i="2" s="1"/>
  <c r="G40" i="2"/>
  <c r="K40" i="2" s="1"/>
  <c r="O40" i="2" s="1"/>
  <c r="G76" i="2"/>
  <c r="K76" i="2" s="1"/>
  <c r="G101" i="2"/>
  <c r="K101" i="2" s="1"/>
  <c r="O101" i="2" s="1"/>
  <c r="G30" i="2"/>
  <c r="K30" i="2" s="1"/>
  <c r="G78" i="2"/>
  <c r="K78" i="2" s="1"/>
  <c r="G7" i="2"/>
  <c r="K7" i="2" s="1"/>
  <c r="G55" i="2"/>
  <c r="K55" i="2" s="1"/>
  <c r="G91" i="2"/>
  <c r="K91" i="2" s="1"/>
  <c r="G8" i="2"/>
  <c r="K8" i="2" s="1"/>
  <c r="G56" i="2"/>
  <c r="K56" i="2" s="1"/>
  <c r="G21" i="2"/>
  <c r="K21" i="2" s="1"/>
  <c r="G69" i="2"/>
  <c r="K69" i="2" s="1"/>
  <c r="O69" i="2" s="1"/>
  <c r="G34" i="2"/>
  <c r="K34" i="2" s="1"/>
  <c r="O34" i="2" s="1"/>
  <c r="G70" i="2"/>
  <c r="K70" i="2" s="1"/>
  <c r="O70" i="2" s="1"/>
  <c r="G52" i="2"/>
  <c r="K52" i="2" s="1"/>
  <c r="O52" i="2" s="1"/>
  <c r="G100" i="2"/>
  <c r="K100" i="2" s="1"/>
  <c r="G18" i="2"/>
  <c r="K18" i="2" s="1"/>
  <c r="G66" i="2"/>
  <c r="K66" i="2" s="1"/>
  <c r="G31" i="2"/>
  <c r="K31" i="2" s="1"/>
  <c r="G67" i="2"/>
  <c r="K67" i="2" s="1"/>
  <c r="G14" i="2"/>
  <c r="K14" i="2" s="1"/>
  <c r="O14" i="2" s="1"/>
  <c r="G38" i="2"/>
  <c r="K38" i="2" s="1"/>
  <c r="O38" i="2" s="1"/>
  <c r="G62" i="2"/>
  <c r="K62" i="2" s="1"/>
  <c r="O62" i="2" s="1"/>
  <c r="G86" i="2"/>
  <c r="K86" i="2" s="1"/>
  <c r="O86" i="2" s="1"/>
  <c r="G3" i="2"/>
  <c r="K3" i="2" s="1"/>
  <c r="G39" i="2"/>
  <c r="K39" i="2" s="1"/>
  <c r="O39" i="2" s="1"/>
  <c r="G63" i="2"/>
  <c r="K63" i="2" s="1"/>
  <c r="O63" i="2" s="1"/>
  <c r="G87" i="2"/>
  <c r="K87" i="2" s="1"/>
  <c r="G4" i="2"/>
  <c r="K4" i="2" s="1"/>
  <c r="G28" i="2"/>
  <c r="K28" i="2" s="1"/>
  <c r="G64" i="2"/>
  <c r="K64" i="2" s="1"/>
  <c r="G88" i="2"/>
  <c r="K88" i="2" s="1"/>
  <c r="G89" i="2"/>
  <c r="K89" i="2" s="1"/>
  <c r="G6" i="2"/>
  <c r="K6" i="2" s="1"/>
  <c r="O6" i="2" s="1"/>
  <c r="G54" i="2"/>
  <c r="K54" i="2" s="1"/>
  <c r="G2" i="2"/>
  <c r="K2" i="2" s="1"/>
  <c r="O2" i="2" s="1"/>
  <c r="G19" i="2"/>
  <c r="K19" i="2" s="1"/>
  <c r="G79" i="2"/>
  <c r="K79" i="2" s="1"/>
  <c r="G32" i="2"/>
  <c r="K32" i="2" s="1"/>
  <c r="O32" i="2" s="1"/>
  <c r="G80" i="2"/>
  <c r="K80" i="2" s="1"/>
  <c r="G33" i="2"/>
  <c r="K33" i="2" s="1"/>
  <c r="G57" i="2"/>
  <c r="K57" i="2" s="1"/>
  <c r="O57" i="2" s="1"/>
  <c r="G93" i="2"/>
  <c r="K93" i="2" s="1"/>
  <c r="G22" i="2"/>
  <c r="K22" i="2" s="1"/>
  <c r="G58" i="2"/>
  <c r="K58" i="2" s="1"/>
  <c r="O58" i="2" s="1"/>
  <c r="G94" i="2"/>
  <c r="K94" i="2" s="1"/>
  <c r="O94" i="2" s="1"/>
  <c r="G5" i="2"/>
  <c r="K5" i="2" s="1"/>
  <c r="G17" i="2"/>
  <c r="K17" i="2" s="1"/>
  <c r="G29" i="2"/>
  <c r="K29" i="2" s="1"/>
  <c r="O29" i="2" s="1"/>
  <c r="G41" i="2"/>
  <c r="K41" i="2" s="1"/>
  <c r="O41" i="2" s="1"/>
  <c r="G53" i="2"/>
  <c r="K53" i="2" s="1"/>
  <c r="O53" i="2" s="1"/>
  <c r="G65" i="2"/>
  <c r="K65" i="2" s="1"/>
  <c r="G77" i="2"/>
  <c r="K77" i="2" s="1"/>
  <c r="G42" i="2"/>
  <c r="K42" i="2" s="1"/>
  <c r="G90" i="2"/>
  <c r="K90" i="2" s="1"/>
  <c r="G43" i="2"/>
  <c r="K43" i="2" s="1"/>
  <c r="G20" i="2"/>
  <c r="K20" i="2" s="1"/>
  <c r="O20" i="2" s="1"/>
  <c r="G44" i="2"/>
  <c r="K44" i="2" s="1"/>
  <c r="O44" i="2" s="1"/>
  <c r="G68" i="2"/>
  <c r="K68" i="2" s="1"/>
  <c r="G92" i="2"/>
  <c r="K92" i="2" s="1"/>
  <c r="O92" i="2" s="1"/>
  <c r="G9" i="2"/>
  <c r="K9" i="2" s="1"/>
  <c r="G45" i="2"/>
  <c r="K45" i="2" s="1"/>
  <c r="O45" i="2" s="1"/>
  <c r="G81" i="2"/>
  <c r="K81" i="2" s="1"/>
  <c r="O81" i="2" s="1"/>
  <c r="G10" i="2"/>
  <c r="K10" i="2" s="1"/>
  <c r="G46" i="2"/>
  <c r="K46" i="2" s="1"/>
  <c r="G82" i="2"/>
  <c r="K82" i="2" s="1"/>
  <c r="O82" i="2" s="1"/>
  <c r="G84" i="2"/>
  <c r="K84" i="2" s="1"/>
  <c r="G49" i="2"/>
  <c r="K49" i="2" s="1"/>
  <c r="G73" i="2"/>
  <c r="K73" i="2" s="1"/>
  <c r="G11" i="2"/>
  <c r="K11" i="2" s="1"/>
  <c r="O90" i="2"/>
  <c r="O17" i="2"/>
  <c r="O28" i="2"/>
  <c r="O87" i="2"/>
  <c r="O80" i="2"/>
  <c r="O4" i="2"/>
  <c r="O30" i="2"/>
  <c r="O55" i="2"/>
  <c r="O27" i="2"/>
  <c r="O96" i="2"/>
  <c r="O9" i="2"/>
  <c r="O36" i="2"/>
  <c r="O66" i="2"/>
  <c r="O71" i="2"/>
  <c r="O31" i="2"/>
  <c r="O75" i="2"/>
  <c r="O5" i="2"/>
  <c r="O33" i="2"/>
  <c r="O48" i="2"/>
  <c r="O78" i="2"/>
  <c r="O95" i="2"/>
  <c r="O43" i="2"/>
  <c r="O67" i="2"/>
  <c r="O8" i="2"/>
  <c r="O93" i="2"/>
  <c r="O79" i="2"/>
  <c r="O64" i="2"/>
  <c r="O10" i="2"/>
  <c r="O47" i="2"/>
  <c r="O24" i="2"/>
  <c r="O91" i="2"/>
  <c r="O11" i="2"/>
  <c r="O56" i="2"/>
  <c r="O76" i="2"/>
  <c r="O65" i="2"/>
  <c r="O59" i="2"/>
  <c r="O84" i="2"/>
  <c r="O12" i="2"/>
  <c r="T1" i="2"/>
  <c r="O88" i="2"/>
  <c r="O77" i="2"/>
  <c r="O68" i="2"/>
  <c r="O83" i="2"/>
  <c r="O22" i="2"/>
  <c r="O15" i="2"/>
  <c r="O100" i="2"/>
  <c r="O35" i="2"/>
  <c r="O89" i="2"/>
  <c r="O18" i="2"/>
  <c r="O21" i="2"/>
  <c r="O85" i="2"/>
  <c r="O50" i="2"/>
  <c r="O73" i="2"/>
  <c r="O97" i="2"/>
  <c r="O49" i="2"/>
  <c r="O74" i="2"/>
  <c r="O98" i="2"/>
  <c r="O46" i="2"/>
  <c r="O42" i="2"/>
  <c r="O7" i="2"/>
  <c r="O13" i="2"/>
  <c r="O60" i="2"/>
  <c r="O54" i="2"/>
  <c r="O23" i="2"/>
  <c r="O19" i="2"/>
  <c r="O3" i="2"/>
  <c r="AC1" i="2" l="1"/>
</calcChain>
</file>

<file path=xl/sharedStrings.xml><?xml version="1.0" encoding="utf-8"?>
<sst xmlns="http://schemas.openxmlformats.org/spreadsheetml/2006/main" count="632" uniqueCount="235">
  <si>
    <t>Journal</t>
  </si>
  <si>
    <t>ISSN</t>
  </si>
  <si>
    <t>SDG-DNA</t>
  </si>
  <si>
    <t>0893-9454</t>
  </si>
  <si>
    <t>Journal of Management Studies</t>
  </si>
  <si>
    <t>Environment: Science and Policy for Sustainable Development</t>
  </si>
  <si>
    <t>0013-9157</t>
  </si>
  <si>
    <t>Journal of Sustainable Finance &amp; Investment</t>
  </si>
  <si>
    <t>2043-0795</t>
  </si>
  <si>
    <t>Journal of Business Ethics</t>
  </si>
  <si>
    <t>Globalization and Health</t>
  </si>
  <si>
    <t>1744-8603</t>
  </si>
  <si>
    <t>Smart and Sustainable Built Environment</t>
  </si>
  <si>
    <t>International Journal of Agricultural Sustainability</t>
  </si>
  <si>
    <t>Food Policy</t>
  </si>
  <si>
    <t>Journal of Sustainable Tourism</t>
  </si>
  <si>
    <t>0966-9582</t>
  </si>
  <si>
    <t>2042-5961</t>
  </si>
  <si>
    <t>Nature Sustainability</t>
  </si>
  <si>
    <t>2398-9629</t>
  </si>
  <si>
    <t>2040-8021</t>
  </si>
  <si>
    <t>2325-1115</t>
  </si>
  <si>
    <t>Business Strategy and the Environment</t>
  </si>
  <si>
    <t>0964-4733</t>
  </si>
  <si>
    <t>Organization &amp; Environment</t>
  </si>
  <si>
    <t>1086-0266</t>
  </si>
  <si>
    <t>1472-0701</t>
  </si>
  <si>
    <t>Journal of Strategic Innovation and Sustainability</t>
  </si>
  <si>
    <t>1718-2077</t>
  </si>
  <si>
    <t>Law &amp; Policy</t>
  </si>
  <si>
    <t>0265-8240</t>
  </si>
  <si>
    <t>Information Systems Research</t>
  </si>
  <si>
    <t>1523-4614</t>
  </si>
  <si>
    <t>Journal of International Business Studies</t>
  </si>
  <si>
    <t>0047-2506</t>
  </si>
  <si>
    <t>Strategic Entrepreneurship Journal</t>
  </si>
  <si>
    <t>1932-4391</t>
  </si>
  <si>
    <t>Journal of Applied Psychology</t>
  </si>
  <si>
    <t>0021-9010</t>
  </si>
  <si>
    <t>0034-6527</t>
  </si>
  <si>
    <t>Organization Science</t>
  </si>
  <si>
    <t>1047-7039</t>
  </si>
  <si>
    <t>Journal of Management</t>
  </si>
  <si>
    <t>0149-2063</t>
  </si>
  <si>
    <t>Human Resource Management</t>
  </si>
  <si>
    <t>0090-4848</t>
  </si>
  <si>
    <t>Journal of Business Venturing</t>
  </si>
  <si>
    <t>0883-9026</t>
  </si>
  <si>
    <t>Journal of Political Economy</t>
  </si>
  <si>
    <t>0022-3808</t>
  </si>
  <si>
    <t>American Economic Review</t>
  </si>
  <si>
    <t>Academy of Management Journal</t>
  </si>
  <si>
    <t>0001-4273</t>
  </si>
  <si>
    <t>Production and Operations Management</t>
  </si>
  <si>
    <t>1059-1478</t>
  </si>
  <si>
    <t>Journal of Management Information Systems</t>
  </si>
  <si>
    <t>Organization Studies</t>
  </si>
  <si>
    <t>Journal of Consumer Research</t>
  </si>
  <si>
    <t>0093-5301</t>
  </si>
  <si>
    <t>Strategic Management Journal</t>
  </si>
  <si>
    <t>Journal of Consumer Psychology</t>
  </si>
  <si>
    <t>Econometrica</t>
  </si>
  <si>
    <t>Journal of Marketing Research</t>
  </si>
  <si>
    <t>0022-2437</t>
  </si>
  <si>
    <t>Management Science</t>
  </si>
  <si>
    <t>Organizational Behavior and Human Decision Processes</t>
  </si>
  <si>
    <t>0749-5978</t>
  </si>
  <si>
    <t>Journal of Finance</t>
  </si>
  <si>
    <t>Academy of Management Review</t>
  </si>
  <si>
    <t>Marketing Science</t>
  </si>
  <si>
    <t>Journal of Accounting and Economics</t>
  </si>
  <si>
    <t>Operations Research</t>
  </si>
  <si>
    <t>Administrative Science Quarterly</t>
  </si>
  <si>
    <t>Review of Finance</t>
  </si>
  <si>
    <t>Human Relations</t>
  </si>
  <si>
    <t>0033-5533</t>
  </si>
  <si>
    <t>Research Policy</t>
  </si>
  <si>
    <t>0048-7333</t>
  </si>
  <si>
    <t>STEINGARD FINE-TUNING</t>
  </si>
  <si>
    <t>NEW WEIGHT SDGII</t>
  </si>
  <si>
    <t>SDG-DNA FORMULA</t>
  </si>
  <si>
    <t>SDG WHEELS FORMULA</t>
  </si>
  <si>
    <t>New Accuracy</t>
  </si>
  <si>
    <t>0304-405X</t>
  </si>
  <si>
    <t>Carbon Balance and Management</t>
  </si>
  <si>
    <t>1750-0680</t>
  </si>
  <si>
    <t>European Journal of Innovation Management</t>
  </si>
  <si>
    <t>Journal of Operations Management</t>
  </si>
  <si>
    <t>0272-6963</t>
  </si>
  <si>
    <t>Entrepreneurship Theory and Practice</t>
  </si>
  <si>
    <t>Review of Accounting Studies</t>
  </si>
  <si>
    <t>1380-6653</t>
  </si>
  <si>
    <t>Journal of the Academy of Marketing Science</t>
  </si>
  <si>
    <t>Harvard Business Review</t>
  </si>
  <si>
    <t>0017-8012</t>
  </si>
  <si>
    <t>Journal of Accounting Research</t>
  </si>
  <si>
    <t>0021-8456</t>
  </si>
  <si>
    <t>Journal of Marketing</t>
  </si>
  <si>
    <t>Contemporary Accounting Research</t>
  </si>
  <si>
    <t>0823-9150</t>
  </si>
  <si>
    <t>Publisher</t>
  </si>
  <si>
    <t>Total Articles</t>
  </si>
  <si>
    <t>SDG Presence (%)</t>
  </si>
  <si>
    <t>Top SDG Dominance (%)</t>
  </si>
  <si>
    <t>Review of Financial Studies The</t>
  </si>
  <si>
    <t>1467-6486</t>
  </si>
  <si>
    <t>International Journal of Environmental Sustainability The</t>
  </si>
  <si>
    <t>2325-1077</t>
  </si>
  <si>
    <t>1547-7185</t>
  </si>
  <si>
    <t>1573-0697</t>
  </si>
  <si>
    <t>Gender in Management</t>
  </si>
  <si>
    <t>1754-2421</t>
  </si>
  <si>
    <t>Natural Resources Forum</t>
  </si>
  <si>
    <t>1477-8947</t>
  </si>
  <si>
    <t>Environment Development and Sustainability</t>
  </si>
  <si>
    <t>1387-585X</t>
  </si>
  <si>
    <t>2046-6102</t>
  </si>
  <si>
    <t>International Journal of Sustainable Development and World Ecology</t>
  </si>
  <si>
    <t>1745-2627</t>
  </si>
  <si>
    <t>International Journal of Sustainability Policy and Practice The</t>
  </si>
  <si>
    <t>2325-1182</t>
  </si>
  <si>
    <t>International Journal of Environment &amp; Sustainable Development</t>
  </si>
  <si>
    <t>1474-6778</t>
  </si>
  <si>
    <t>Agronomy for Sustainable Development</t>
  </si>
  <si>
    <t>1774-0746</t>
  </si>
  <si>
    <t>International Journal of Water Resources Development</t>
  </si>
  <si>
    <t>1360-0648</t>
  </si>
  <si>
    <t>1747-762X</t>
  </si>
  <si>
    <t>Current Opinion in Environmental Sustainability</t>
  </si>
  <si>
    <t>1877-3435</t>
  </si>
  <si>
    <t>Sustainability Science</t>
  </si>
  <si>
    <t>1862-4065</t>
  </si>
  <si>
    <t>Journal of Hunger &amp; Environmental Nutrition</t>
  </si>
  <si>
    <t>1932-0256</t>
  </si>
  <si>
    <t>Sustainable Development</t>
  </si>
  <si>
    <t>0968-0802</t>
  </si>
  <si>
    <t>1873-5657</t>
  </si>
  <si>
    <t>Hydrology and Earth System Sciences</t>
  </si>
  <si>
    <t>1027-5606</t>
  </si>
  <si>
    <t>Journal of Renewable Energy</t>
  </si>
  <si>
    <t>2314-4386</t>
  </si>
  <si>
    <t>Sustainability: Science Practice &amp; Policy</t>
  </si>
  <si>
    <t>1548-7733</t>
  </si>
  <si>
    <t>World Journal of Entrepreneurship Management and Sustainable Development</t>
  </si>
  <si>
    <t>International Journal of Sustainable Energy</t>
  </si>
  <si>
    <t>1478-6451</t>
  </si>
  <si>
    <t>Natural Resources Journal</t>
  </si>
  <si>
    <t>0028-0739</t>
  </si>
  <si>
    <t>Sustainability Accounting Management and Policy Journal</t>
  </si>
  <si>
    <t>International Journal of Social Sustainability in Economic Social and Cultural Context The</t>
  </si>
  <si>
    <t>Agroecology and Sustainable Food Systems</t>
  </si>
  <si>
    <t>2168-3565</t>
  </si>
  <si>
    <t>Landscape and Urban Planning</t>
  </si>
  <si>
    <t>0169-2046</t>
  </si>
  <si>
    <t>Sustainable Cities and Society</t>
  </si>
  <si>
    <t>2210-6707</t>
  </si>
  <si>
    <t>Journal of Agricultural and Environmental Ethics</t>
  </si>
  <si>
    <t>1187-7863</t>
  </si>
  <si>
    <t>Environmental Progress &amp; Sustainable Energy</t>
  </si>
  <si>
    <t>1944-7442</t>
  </si>
  <si>
    <t>International Food &amp; Agribusiness Management Review</t>
  </si>
  <si>
    <t>1559-2448</t>
  </si>
  <si>
    <t>Journal of Environmental Law</t>
  </si>
  <si>
    <t>0952-8873</t>
  </si>
  <si>
    <t>Process Safety and Environmental Protection</t>
  </si>
  <si>
    <t>0957-5820</t>
  </si>
  <si>
    <t>Ethics Policy &amp; Environment</t>
  </si>
  <si>
    <t>2155-0085</t>
  </si>
  <si>
    <t>Corporate Governance: The International Journal of Business Society</t>
  </si>
  <si>
    <t>Business &amp; Society</t>
  </si>
  <si>
    <t>0007-6503</t>
  </si>
  <si>
    <t>Environmental Ethics</t>
  </si>
  <si>
    <t>0163-4275</t>
  </si>
  <si>
    <t>2153-7895</t>
  </si>
  <si>
    <t>Manufacturing &amp; Service Operations Management</t>
  </si>
  <si>
    <t>Review of Economic Studies The</t>
  </si>
  <si>
    <t>1540-6520</t>
  </si>
  <si>
    <t>Accounting Organizations and Society</t>
  </si>
  <si>
    <t>1873-6289</t>
  </si>
  <si>
    <t>1557-928X</t>
  </si>
  <si>
    <t>1741-3044</t>
  </si>
  <si>
    <t>1097-0266</t>
  </si>
  <si>
    <t>1552-7824</t>
  </si>
  <si>
    <t>1532-7663</t>
  </si>
  <si>
    <t>1468-0262</t>
  </si>
  <si>
    <t>1526-5501</t>
  </si>
  <si>
    <t>1540-6261</t>
  </si>
  <si>
    <t>1930-3807</t>
  </si>
  <si>
    <t>The Journal of Financial Economics</t>
  </si>
  <si>
    <t>1526-548X</t>
  </si>
  <si>
    <t>Journal of Financial &amp; Quantitative Analysis</t>
  </si>
  <si>
    <t>1756-6916</t>
  </si>
  <si>
    <t>Accounting Review The</t>
  </si>
  <si>
    <t>1558-7967</t>
  </si>
  <si>
    <t>1879-1980</t>
  </si>
  <si>
    <t>1526-5463</t>
  </si>
  <si>
    <t>1930-3815</t>
  </si>
  <si>
    <t>1875-824X</t>
  </si>
  <si>
    <t>1741-282X</t>
  </si>
  <si>
    <t>Management Information Systems Quarterly</t>
  </si>
  <si>
    <t>2162-9730</t>
  </si>
  <si>
    <t>Quarterly Journal of Economics</t>
  </si>
  <si>
    <t>1758-7115</t>
  </si>
  <si>
    <t>The International Journal of Social Sustainability in Economic Social and Cultural Context</t>
  </si>
  <si>
    <t>Society and Business Review</t>
  </si>
  <si>
    <t>1746-5680</t>
  </si>
  <si>
    <t>Social Responsibility Journal</t>
  </si>
  <si>
    <t>1747-1117</t>
  </si>
  <si>
    <t>Absolute Difference</t>
  </si>
  <si>
    <t>Annals In Social Responsibility</t>
  </si>
  <si>
    <t>2056-3515</t>
  </si>
  <si>
    <t>Annals in Social Responsibility</t>
  </si>
  <si>
    <t>Top SDG #1</t>
  </si>
  <si>
    <t>Top SDG #2</t>
  </si>
  <si>
    <t>Top SDG #3</t>
  </si>
  <si>
    <t>Review of Financial Studies</t>
  </si>
  <si>
    <t>Environment Science and Policy for Sustainable Development</t>
  </si>
  <si>
    <t>The International Journal of Environmental Sustainability</t>
  </si>
  <si>
    <t>Gender in Management An International Journal</t>
  </si>
  <si>
    <t>International Journal of Sustainable Development &amp; World Ecology</t>
  </si>
  <si>
    <t>The International Journal of Sustainability Policy and Practice</t>
  </si>
  <si>
    <t>International Journal of Environment and Sustainable Development</t>
  </si>
  <si>
    <t>Hydrology and earth system sciences</t>
  </si>
  <si>
    <t>Sustainability Science Practice and Policy</t>
  </si>
  <si>
    <t>Natural resources journal</t>
  </si>
  <si>
    <t>The International Food and Agribusiness Management Review</t>
  </si>
  <si>
    <t>Corporate Governance</t>
  </si>
  <si>
    <t>The Review of Economic Studies</t>
  </si>
  <si>
    <t>Harvard business review</t>
  </si>
  <si>
    <t>The Journal of Finance</t>
  </si>
  <si>
    <t>Journal of Financial Economics</t>
  </si>
  <si>
    <t>Journal of Financial and Quantitative Analysis</t>
  </si>
  <si>
    <t>The Accounting Review</t>
  </si>
  <si>
    <t>MIS Quarterly</t>
  </si>
  <si>
    <t>The Quarterly Journal of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</si>
</sst>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0" xfId="0" applyFont="1" applyFill="1" applyAlignment="1">
      <alignment horizontal="center" wrapText="1"/>
    </xf>
    <xf numFmtId="0" fontId="0" fillId="34" borderId="0" xfId="0" applyFill="1" applyAlignment="1">
      <alignment horizontal="center" wrapText="1"/>
    </xf>
    <xf numFmtId="2" fontId="16" fillId="34" borderId="0" xfId="0" applyNumberFormat="1" applyFont="1" applyFill="1" applyAlignment="1">
      <alignment horizontal="center" wrapText="1"/>
    </xf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0" fontId="0" fillId="35" borderId="0" xfId="0" applyNumberFormat="1" applyFill="1" applyAlignment="1">
      <alignment wrapText="1"/>
    </xf>
    <xf numFmtId="0" fontId="16" fillId="36" borderId="0" xfId="0" applyFont="1" applyFill="1" applyAlignment="1">
      <alignment wrapText="1"/>
    </xf>
    <xf numFmtId="0" fontId="0" fillId="36" borderId="0" xfId="0" applyFill="1" applyAlignment="1">
      <alignment horizontal="center" vertical="center"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E0F6-4CC9-4976-8863-7375A770505D}">
  <dimension ref="A1:AE201"/>
  <sheetViews>
    <sheetView topLeftCell="A73" zoomScale="127" zoomScaleNormal="127" workbookViewId="0">
      <pane xSplit="1" topLeftCell="B1" activePane="topRight" state="frozen"/>
      <selection pane="topRight" activeCell="A82" sqref="A82"/>
    </sheetView>
  </sheetViews>
  <sheetFormatPr defaultColWidth="10.796875" defaultRowHeight="15.6" x14ac:dyDescent="0.3"/>
  <cols>
    <col min="1" max="1" width="75.5" bestFit="1" customWidth="1"/>
    <col min="3" max="5" width="10.796875" customWidth="1"/>
    <col min="6" max="6" width="18.19921875" customWidth="1"/>
    <col min="7" max="7" width="20.296875" bestFit="1" customWidth="1"/>
    <col min="8" max="10" width="20.296875" customWidth="1"/>
    <col min="11" max="11" width="26.19921875" bestFit="1" customWidth="1"/>
    <col min="12" max="12" width="25.69921875" customWidth="1"/>
    <col min="13" max="13" width="10.796875" hidden="1" customWidth="1"/>
    <col min="14" max="14" width="9.69921875" hidden="1" customWidth="1"/>
    <col min="15" max="15" width="10.796875" customWidth="1"/>
    <col min="16" max="16" width="11.796875" bestFit="1" customWidth="1"/>
    <col min="18" max="19" width="11.59765625" bestFit="1" customWidth="1"/>
  </cols>
  <sheetData>
    <row r="1" spans="1:31" s="5" customFormat="1" ht="31.2" x14ac:dyDescent="0.3">
      <c r="A1" t="s">
        <v>0</v>
      </c>
      <c r="B1" t="s">
        <v>1</v>
      </c>
      <c r="C1" t="s">
        <v>100</v>
      </c>
      <c r="D1" t="s">
        <v>101</v>
      </c>
      <c r="E1" t="s">
        <v>102</v>
      </c>
      <c r="F1" t="s">
        <v>103</v>
      </c>
      <c r="G1" s="8" t="s">
        <v>79</v>
      </c>
      <c r="H1" t="s">
        <v>212</v>
      </c>
      <c r="I1" t="s">
        <v>213</v>
      </c>
      <c r="J1" t="s">
        <v>214</v>
      </c>
      <c r="K1" s="6" t="s">
        <v>81</v>
      </c>
      <c r="L1" s="9" t="s">
        <v>78</v>
      </c>
      <c r="M1" s="5" t="s">
        <v>2</v>
      </c>
      <c r="N1" s="5" t="s">
        <v>80</v>
      </c>
      <c r="O1" s="5" t="s">
        <v>208</v>
      </c>
      <c r="Q1" s="1">
        <v>1.2</v>
      </c>
      <c r="R1" s="2">
        <f>0.5</f>
        <v>0.5</v>
      </c>
      <c r="S1" s="2">
        <f>1-R1</f>
        <v>0.5</v>
      </c>
      <c r="T1" s="3">
        <f>R1+S1</f>
        <v>1</v>
      </c>
      <c r="V1" s="2">
        <v>80</v>
      </c>
      <c r="W1" s="2">
        <v>60</v>
      </c>
      <c r="X1" s="2">
        <v>40</v>
      </c>
      <c r="Y1" s="2">
        <v>20</v>
      </c>
      <c r="Z1" s="2">
        <v>0</v>
      </c>
      <c r="AA1" s="2">
        <v>0</v>
      </c>
      <c r="AB1" s="5" t="s">
        <v>82</v>
      </c>
      <c r="AC1" s="7">
        <f>COUNTIF(O2:O100,"&lt;2")/COUNT(O2:O100)</f>
        <v>0.41414141414141414</v>
      </c>
      <c r="AD1" s="10"/>
      <c r="AE1" s="7"/>
    </row>
    <row r="2" spans="1:31" x14ac:dyDescent="0.3">
      <c r="A2" t="s">
        <v>104</v>
      </c>
      <c r="B2" t="s">
        <v>3</v>
      </c>
      <c r="C2" t="s">
        <v>215</v>
      </c>
      <c r="D2">
        <v>676</v>
      </c>
      <c r="E2">
        <v>62.28</v>
      </c>
      <c r="F2">
        <v>48.96</v>
      </c>
      <c r="G2">
        <f>$R$1*E2+$S$1*F2</f>
        <v>55.620000000000005</v>
      </c>
      <c r="H2">
        <v>17</v>
      </c>
      <c r="I2">
        <v>8</v>
      </c>
      <c r="J2">
        <v>9</v>
      </c>
      <c r="K2" s="11" t="str">
        <f t="shared" ref="K2:K33" si="0">IF(G2&gt;$V$1,"5",IF(G2&gt;$W$1,"4",IF(G2&gt;$X$1,"3",IF(G2&gt;$Y$1,"2",IF(G2&gt;$Z$1,"1",IF(G2&gt;$AA$1,"0"))))))</f>
        <v>3</v>
      </c>
      <c r="L2" s="11">
        <v>5</v>
      </c>
      <c r="O2" s="4">
        <f t="shared" ref="O2:O65" si="1">ABS(K2-L2)</f>
        <v>2</v>
      </c>
      <c r="P2" s="4"/>
    </row>
    <row r="3" spans="1:31" x14ac:dyDescent="0.3">
      <c r="A3" t="s">
        <v>4</v>
      </c>
      <c r="B3" t="s">
        <v>105</v>
      </c>
      <c r="C3" t="s">
        <v>4</v>
      </c>
      <c r="D3">
        <v>289</v>
      </c>
      <c r="E3">
        <v>58.48</v>
      </c>
      <c r="F3">
        <v>38.32</v>
      </c>
      <c r="G3">
        <f t="shared" ref="G3:G66" si="2">$R$1*E3+$S$1*F3</f>
        <v>48.4</v>
      </c>
      <c r="H3">
        <v>8</v>
      </c>
      <c r="I3">
        <v>9</v>
      </c>
      <c r="J3">
        <v>10</v>
      </c>
      <c r="K3" s="11" t="str">
        <f t="shared" si="0"/>
        <v>3</v>
      </c>
      <c r="L3" s="11">
        <v>5</v>
      </c>
      <c r="O3" s="4">
        <f t="shared" si="1"/>
        <v>2</v>
      </c>
      <c r="P3" s="4"/>
    </row>
    <row r="4" spans="1:31" x14ac:dyDescent="0.3">
      <c r="A4" t="s">
        <v>5</v>
      </c>
      <c r="B4" t="s">
        <v>6</v>
      </c>
      <c r="C4" t="s">
        <v>216</v>
      </c>
      <c r="D4">
        <v>161</v>
      </c>
      <c r="E4">
        <v>67.7</v>
      </c>
      <c r="F4">
        <v>67.14</v>
      </c>
      <c r="G4">
        <f t="shared" si="2"/>
        <v>67.42</v>
      </c>
      <c r="H4">
        <v>13</v>
      </c>
      <c r="I4">
        <v>14</v>
      </c>
      <c r="J4">
        <v>15</v>
      </c>
      <c r="K4" s="11" t="str">
        <f t="shared" si="0"/>
        <v>4</v>
      </c>
      <c r="L4" s="11">
        <v>5</v>
      </c>
      <c r="O4" s="4">
        <f t="shared" si="1"/>
        <v>1</v>
      </c>
      <c r="P4" s="4"/>
    </row>
    <row r="5" spans="1:31" x14ac:dyDescent="0.3">
      <c r="A5" t="s">
        <v>7</v>
      </c>
      <c r="B5" t="s">
        <v>8</v>
      </c>
      <c r="C5" t="s">
        <v>7</v>
      </c>
      <c r="D5">
        <v>105</v>
      </c>
      <c r="E5">
        <v>58.1</v>
      </c>
      <c r="F5">
        <v>40</v>
      </c>
      <c r="G5">
        <f t="shared" si="2"/>
        <v>49.05</v>
      </c>
      <c r="H5">
        <v>13</v>
      </c>
      <c r="I5">
        <v>8</v>
      </c>
      <c r="J5">
        <v>9</v>
      </c>
      <c r="K5" s="11" t="str">
        <f t="shared" si="0"/>
        <v>3</v>
      </c>
      <c r="L5" s="11">
        <v>5</v>
      </c>
      <c r="O5" s="4">
        <f t="shared" si="1"/>
        <v>2</v>
      </c>
      <c r="P5" s="4"/>
    </row>
    <row r="6" spans="1:31" x14ac:dyDescent="0.3">
      <c r="A6" t="s">
        <v>106</v>
      </c>
      <c r="B6" t="s">
        <v>107</v>
      </c>
      <c r="C6" t="s">
        <v>217</v>
      </c>
      <c r="D6">
        <v>37</v>
      </c>
      <c r="E6">
        <v>75.680000000000007</v>
      </c>
      <c r="F6">
        <v>33.33</v>
      </c>
      <c r="G6">
        <f t="shared" si="2"/>
        <v>54.505000000000003</v>
      </c>
      <c r="H6">
        <v>12</v>
      </c>
      <c r="I6">
        <v>13</v>
      </c>
      <c r="J6">
        <v>11</v>
      </c>
      <c r="K6" s="11" t="str">
        <f t="shared" si="0"/>
        <v>3</v>
      </c>
      <c r="L6" s="11">
        <v>5</v>
      </c>
      <c r="M6" s="11"/>
      <c r="O6" s="4">
        <f t="shared" si="1"/>
        <v>2</v>
      </c>
      <c r="P6" s="4"/>
    </row>
    <row r="7" spans="1:31" x14ac:dyDescent="0.3">
      <c r="A7" t="s">
        <v>97</v>
      </c>
      <c r="B7" t="s">
        <v>108</v>
      </c>
      <c r="C7" t="s">
        <v>97</v>
      </c>
      <c r="D7">
        <v>246</v>
      </c>
      <c r="E7">
        <v>44.31</v>
      </c>
      <c r="F7">
        <v>46.75</v>
      </c>
      <c r="G7">
        <f t="shared" si="2"/>
        <v>45.53</v>
      </c>
      <c r="H7">
        <v>9</v>
      </c>
      <c r="I7">
        <v>8</v>
      </c>
      <c r="J7">
        <v>17</v>
      </c>
      <c r="K7" s="11" t="str">
        <f t="shared" si="0"/>
        <v>3</v>
      </c>
      <c r="L7" s="11">
        <v>5</v>
      </c>
      <c r="M7" s="11"/>
      <c r="O7" s="4">
        <f t="shared" si="1"/>
        <v>2</v>
      </c>
      <c r="P7" s="4"/>
    </row>
    <row r="8" spans="1:31" x14ac:dyDescent="0.3">
      <c r="A8" t="s">
        <v>9</v>
      </c>
      <c r="B8" t="s">
        <v>109</v>
      </c>
      <c r="C8" t="s">
        <v>9</v>
      </c>
      <c r="D8">
        <v>1823</v>
      </c>
      <c r="E8">
        <v>58.09</v>
      </c>
      <c r="F8">
        <v>47.35</v>
      </c>
      <c r="G8">
        <f t="shared" si="2"/>
        <v>52.72</v>
      </c>
      <c r="H8">
        <v>16</v>
      </c>
      <c r="I8">
        <v>8</v>
      </c>
      <c r="J8">
        <v>10</v>
      </c>
      <c r="K8" s="11" t="str">
        <f t="shared" si="0"/>
        <v>3</v>
      </c>
      <c r="L8" s="11">
        <v>5</v>
      </c>
      <c r="M8" s="11"/>
      <c r="O8" s="4">
        <f t="shared" si="1"/>
        <v>2</v>
      </c>
      <c r="P8" s="4"/>
    </row>
    <row r="9" spans="1:31" x14ac:dyDescent="0.3">
      <c r="A9" t="s">
        <v>110</v>
      </c>
      <c r="B9" t="s">
        <v>111</v>
      </c>
      <c r="C9" t="s">
        <v>218</v>
      </c>
      <c r="D9">
        <v>186</v>
      </c>
      <c r="E9">
        <v>88.71</v>
      </c>
      <c r="F9">
        <v>83.95</v>
      </c>
      <c r="G9">
        <f t="shared" si="2"/>
        <v>86.33</v>
      </c>
      <c r="H9">
        <v>5</v>
      </c>
      <c r="I9">
        <v>8</v>
      </c>
      <c r="J9">
        <v>10</v>
      </c>
      <c r="K9" s="11" t="str">
        <f t="shared" si="0"/>
        <v>5</v>
      </c>
      <c r="L9" s="11">
        <v>5</v>
      </c>
      <c r="O9" s="4">
        <f t="shared" si="1"/>
        <v>0</v>
      </c>
      <c r="P9" s="4"/>
    </row>
    <row r="10" spans="1:31" x14ac:dyDescent="0.3">
      <c r="A10" t="s">
        <v>112</v>
      </c>
      <c r="B10" t="s">
        <v>113</v>
      </c>
      <c r="C10" t="s">
        <v>112</v>
      </c>
      <c r="D10">
        <v>101</v>
      </c>
      <c r="E10">
        <v>68.319999999999993</v>
      </c>
      <c r="F10">
        <v>39.39</v>
      </c>
      <c r="G10">
        <f t="shared" si="2"/>
        <v>53.854999999999997</v>
      </c>
      <c r="H10">
        <v>15</v>
      </c>
      <c r="I10">
        <v>13</v>
      </c>
      <c r="J10">
        <v>11</v>
      </c>
      <c r="K10" s="11" t="str">
        <f t="shared" si="0"/>
        <v>3</v>
      </c>
      <c r="L10" s="11">
        <v>5</v>
      </c>
      <c r="O10" s="4">
        <f t="shared" si="1"/>
        <v>2</v>
      </c>
      <c r="P10" s="4"/>
    </row>
    <row r="11" spans="1:31" x14ac:dyDescent="0.3">
      <c r="A11" t="s">
        <v>114</v>
      </c>
      <c r="B11" t="s">
        <v>115</v>
      </c>
      <c r="C11" t="s">
        <v>114</v>
      </c>
      <c r="D11">
        <v>922</v>
      </c>
      <c r="E11">
        <v>70.5</v>
      </c>
      <c r="F11">
        <v>36.729999999999997</v>
      </c>
      <c r="G11">
        <f t="shared" si="2"/>
        <v>53.614999999999995</v>
      </c>
      <c r="H11">
        <v>2</v>
      </c>
      <c r="I11">
        <v>13</v>
      </c>
      <c r="J11">
        <v>15</v>
      </c>
      <c r="K11" s="11" t="str">
        <f t="shared" si="0"/>
        <v>3</v>
      </c>
      <c r="L11" s="11">
        <v>5</v>
      </c>
      <c r="O11" s="4">
        <f t="shared" si="1"/>
        <v>2</v>
      </c>
      <c r="P11" s="4"/>
    </row>
    <row r="12" spans="1:31" x14ac:dyDescent="0.3">
      <c r="A12" t="s">
        <v>10</v>
      </c>
      <c r="B12" t="s">
        <v>11</v>
      </c>
      <c r="C12" t="s">
        <v>10</v>
      </c>
      <c r="D12">
        <v>337</v>
      </c>
      <c r="E12">
        <v>72.11</v>
      </c>
      <c r="F12">
        <v>62.79</v>
      </c>
      <c r="G12">
        <f t="shared" si="2"/>
        <v>67.45</v>
      </c>
      <c r="H12">
        <v>17</v>
      </c>
      <c r="I12">
        <v>3</v>
      </c>
      <c r="J12">
        <v>1</v>
      </c>
      <c r="K12" s="11" t="str">
        <f t="shared" si="0"/>
        <v>4</v>
      </c>
      <c r="L12" s="11">
        <v>5</v>
      </c>
      <c r="O12" s="4">
        <f t="shared" si="1"/>
        <v>1</v>
      </c>
      <c r="P12" s="4"/>
    </row>
    <row r="13" spans="1:31" x14ac:dyDescent="0.3">
      <c r="A13" t="s">
        <v>12</v>
      </c>
      <c r="B13" t="s">
        <v>116</v>
      </c>
      <c r="C13" t="s">
        <v>12</v>
      </c>
      <c r="D13">
        <v>125</v>
      </c>
      <c r="E13">
        <v>73.599999999999994</v>
      </c>
      <c r="F13">
        <v>62.3</v>
      </c>
      <c r="G13">
        <f t="shared" si="2"/>
        <v>67.949999999999989</v>
      </c>
      <c r="H13">
        <v>11</v>
      </c>
      <c r="I13">
        <v>7</v>
      </c>
      <c r="J13">
        <v>9</v>
      </c>
      <c r="K13" s="11" t="str">
        <f t="shared" si="0"/>
        <v>4</v>
      </c>
      <c r="L13" s="11">
        <v>5</v>
      </c>
      <c r="O13" s="4">
        <f t="shared" si="1"/>
        <v>1</v>
      </c>
      <c r="P13" s="4"/>
    </row>
    <row r="14" spans="1:31" x14ac:dyDescent="0.3">
      <c r="A14" t="s">
        <v>117</v>
      </c>
      <c r="B14" t="s">
        <v>118</v>
      </c>
      <c r="C14" t="s">
        <v>219</v>
      </c>
      <c r="D14">
        <v>305</v>
      </c>
      <c r="E14">
        <v>75.739999999999995</v>
      </c>
      <c r="F14">
        <v>41.13</v>
      </c>
      <c r="G14">
        <f t="shared" si="2"/>
        <v>58.435000000000002</v>
      </c>
      <c r="H14">
        <v>15</v>
      </c>
      <c r="I14">
        <v>11</v>
      </c>
      <c r="J14">
        <v>12</v>
      </c>
      <c r="K14" s="11" t="str">
        <f t="shared" si="0"/>
        <v>3</v>
      </c>
      <c r="L14" s="11">
        <v>5</v>
      </c>
      <c r="O14" s="4">
        <f t="shared" si="1"/>
        <v>2</v>
      </c>
      <c r="P14" s="4"/>
    </row>
    <row r="15" spans="1:31" x14ac:dyDescent="0.3">
      <c r="A15" t="s">
        <v>119</v>
      </c>
      <c r="B15" t="s">
        <v>120</v>
      </c>
      <c r="C15" t="s">
        <v>220</v>
      </c>
      <c r="D15">
        <v>47</v>
      </c>
      <c r="E15">
        <v>57.45</v>
      </c>
      <c r="F15">
        <v>33.33</v>
      </c>
      <c r="G15">
        <f t="shared" si="2"/>
        <v>45.39</v>
      </c>
      <c r="H15">
        <v>12</v>
      </c>
      <c r="I15">
        <v>9</v>
      </c>
      <c r="J15">
        <v>13</v>
      </c>
      <c r="K15" s="11" t="str">
        <f t="shared" si="0"/>
        <v>3</v>
      </c>
      <c r="L15" s="11">
        <v>5</v>
      </c>
      <c r="O15" s="4">
        <f t="shared" si="1"/>
        <v>2</v>
      </c>
      <c r="P15" s="4"/>
    </row>
    <row r="16" spans="1:31" x14ac:dyDescent="0.3">
      <c r="A16" t="s">
        <v>121</v>
      </c>
      <c r="B16" t="s">
        <v>122</v>
      </c>
      <c r="C16" t="s">
        <v>221</v>
      </c>
      <c r="D16">
        <v>247</v>
      </c>
      <c r="E16">
        <v>68.02</v>
      </c>
      <c r="F16">
        <v>39.53</v>
      </c>
      <c r="G16">
        <f t="shared" si="2"/>
        <v>53.774999999999999</v>
      </c>
      <c r="H16">
        <v>15</v>
      </c>
      <c r="I16">
        <v>6</v>
      </c>
      <c r="J16">
        <v>12</v>
      </c>
      <c r="K16" s="11" t="str">
        <f t="shared" si="0"/>
        <v>3</v>
      </c>
      <c r="L16" s="11">
        <v>5</v>
      </c>
      <c r="O16" s="4">
        <f t="shared" si="1"/>
        <v>2</v>
      </c>
      <c r="P16" s="4"/>
    </row>
    <row r="17" spans="1:16" x14ac:dyDescent="0.3">
      <c r="A17" t="s">
        <v>123</v>
      </c>
      <c r="B17" t="s">
        <v>124</v>
      </c>
      <c r="C17" t="s">
        <v>123</v>
      </c>
      <c r="D17">
        <v>214</v>
      </c>
      <c r="E17">
        <v>72.430000000000007</v>
      </c>
      <c r="F17">
        <v>77.34</v>
      </c>
      <c r="G17">
        <f t="shared" si="2"/>
        <v>74.885000000000005</v>
      </c>
      <c r="H17">
        <v>2</v>
      </c>
      <c r="I17">
        <v>15</v>
      </c>
      <c r="J17">
        <v>12</v>
      </c>
      <c r="K17" s="11" t="str">
        <f t="shared" si="0"/>
        <v>4</v>
      </c>
      <c r="L17" s="11">
        <v>5</v>
      </c>
      <c r="M17" s="11"/>
      <c r="O17" s="4">
        <f t="shared" si="1"/>
        <v>1</v>
      </c>
      <c r="P17" s="4"/>
    </row>
    <row r="18" spans="1:16" x14ac:dyDescent="0.3">
      <c r="A18" t="s">
        <v>125</v>
      </c>
      <c r="B18" t="s">
        <v>126</v>
      </c>
      <c r="C18" t="s">
        <v>125</v>
      </c>
      <c r="D18">
        <v>360</v>
      </c>
      <c r="E18">
        <v>67.78</v>
      </c>
      <c r="F18">
        <v>74.05</v>
      </c>
      <c r="G18">
        <f t="shared" si="2"/>
        <v>70.914999999999992</v>
      </c>
      <c r="H18">
        <v>6</v>
      </c>
      <c r="I18">
        <v>2</v>
      </c>
      <c r="J18">
        <v>13</v>
      </c>
      <c r="K18" s="11" t="str">
        <f t="shared" si="0"/>
        <v>4</v>
      </c>
      <c r="L18" s="11">
        <v>5</v>
      </c>
      <c r="O18" s="4">
        <f t="shared" si="1"/>
        <v>1</v>
      </c>
      <c r="P18" s="4"/>
    </row>
    <row r="19" spans="1:16" x14ac:dyDescent="0.3">
      <c r="A19" t="s">
        <v>13</v>
      </c>
      <c r="B19" t="s">
        <v>127</v>
      </c>
      <c r="C19" t="s">
        <v>13</v>
      </c>
      <c r="D19">
        <v>149</v>
      </c>
      <c r="E19">
        <v>82.55</v>
      </c>
      <c r="F19">
        <v>84.68</v>
      </c>
      <c r="G19">
        <f t="shared" si="2"/>
        <v>83.615000000000009</v>
      </c>
      <c r="H19">
        <v>2</v>
      </c>
      <c r="I19">
        <v>15</v>
      </c>
      <c r="J19">
        <v>13</v>
      </c>
      <c r="K19" s="11" t="str">
        <f t="shared" si="0"/>
        <v>5</v>
      </c>
      <c r="L19" s="11">
        <v>5</v>
      </c>
      <c r="O19" s="4">
        <f t="shared" si="1"/>
        <v>0</v>
      </c>
      <c r="P19" s="4"/>
    </row>
    <row r="20" spans="1:16" x14ac:dyDescent="0.3">
      <c r="A20" t="s">
        <v>128</v>
      </c>
      <c r="B20" t="s">
        <v>129</v>
      </c>
      <c r="C20" t="s">
        <v>128</v>
      </c>
      <c r="D20">
        <v>457</v>
      </c>
      <c r="E20">
        <v>68.930000000000007</v>
      </c>
      <c r="F20">
        <v>53.09</v>
      </c>
      <c r="G20">
        <f t="shared" si="2"/>
        <v>61.010000000000005</v>
      </c>
      <c r="H20">
        <v>15</v>
      </c>
      <c r="I20">
        <v>13</v>
      </c>
      <c r="J20">
        <v>2</v>
      </c>
      <c r="K20" s="11" t="str">
        <f t="shared" si="0"/>
        <v>4</v>
      </c>
      <c r="L20" s="11">
        <v>5</v>
      </c>
      <c r="O20" s="4">
        <f t="shared" si="1"/>
        <v>1</v>
      </c>
      <c r="P20" s="4"/>
    </row>
    <row r="21" spans="1:16" x14ac:dyDescent="0.3">
      <c r="A21" t="s">
        <v>130</v>
      </c>
      <c r="B21" t="s">
        <v>131</v>
      </c>
      <c r="C21" t="s">
        <v>130</v>
      </c>
      <c r="D21">
        <v>569</v>
      </c>
      <c r="E21">
        <v>56.59</v>
      </c>
      <c r="F21">
        <v>44.39</v>
      </c>
      <c r="G21">
        <f t="shared" si="2"/>
        <v>50.49</v>
      </c>
      <c r="H21">
        <v>15</v>
      </c>
      <c r="I21">
        <v>12</v>
      </c>
      <c r="J21">
        <v>13</v>
      </c>
      <c r="K21" s="11" t="str">
        <f t="shared" si="0"/>
        <v>3</v>
      </c>
      <c r="L21" s="11">
        <v>5</v>
      </c>
      <c r="O21" s="4">
        <f t="shared" si="1"/>
        <v>2</v>
      </c>
      <c r="P21" s="4"/>
    </row>
    <row r="22" spans="1:16" x14ac:dyDescent="0.3">
      <c r="A22" t="s">
        <v>132</v>
      </c>
      <c r="B22" t="s">
        <v>133</v>
      </c>
      <c r="C22" t="s">
        <v>132</v>
      </c>
      <c r="D22">
        <v>282</v>
      </c>
      <c r="E22">
        <v>86.17</v>
      </c>
      <c r="F22">
        <v>84.23</v>
      </c>
      <c r="G22">
        <f t="shared" si="2"/>
        <v>85.2</v>
      </c>
      <c r="H22">
        <v>2</v>
      </c>
      <c r="I22">
        <v>1</v>
      </c>
      <c r="J22">
        <v>12</v>
      </c>
      <c r="K22" s="11" t="str">
        <f t="shared" si="0"/>
        <v>5</v>
      </c>
      <c r="L22" s="11">
        <v>5</v>
      </c>
      <c r="O22" s="4">
        <f t="shared" si="1"/>
        <v>0</v>
      </c>
      <c r="P22" s="4"/>
    </row>
    <row r="23" spans="1:16" x14ac:dyDescent="0.3">
      <c r="A23" t="s">
        <v>134</v>
      </c>
      <c r="B23" t="s">
        <v>135</v>
      </c>
      <c r="C23" t="s">
        <v>134</v>
      </c>
      <c r="D23">
        <v>384</v>
      </c>
      <c r="E23">
        <v>60.68</v>
      </c>
      <c r="F23">
        <v>33.68</v>
      </c>
      <c r="G23">
        <f t="shared" si="2"/>
        <v>47.18</v>
      </c>
      <c r="H23">
        <v>8</v>
      </c>
      <c r="I23">
        <v>15</v>
      </c>
      <c r="J23">
        <v>12</v>
      </c>
      <c r="K23" s="11" t="str">
        <f t="shared" si="0"/>
        <v>3</v>
      </c>
      <c r="L23" s="11">
        <v>5</v>
      </c>
      <c r="O23" s="4">
        <f t="shared" si="1"/>
        <v>2</v>
      </c>
      <c r="P23" s="4"/>
    </row>
    <row r="24" spans="1:16" x14ac:dyDescent="0.3">
      <c r="A24" t="s">
        <v>14</v>
      </c>
      <c r="B24" t="s">
        <v>136</v>
      </c>
      <c r="C24" t="s">
        <v>14</v>
      </c>
      <c r="D24">
        <v>520</v>
      </c>
      <c r="E24">
        <v>67.69</v>
      </c>
      <c r="F24">
        <v>72.099999999999994</v>
      </c>
      <c r="G24">
        <f t="shared" si="2"/>
        <v>69.894999999999996</v>
      </c>
      <c r="H24">
        <v>2</v>
      </c>
      <c r="I24">
        <v>1</v>
      </c>
      <c r="J24">
        <v>8</v>
      </c>
      <c r="K24" s="11" t="str">
        <f t="shared" si="0"/>
        <v>4</v>
      </c>
      <c r="L24" s="11">
        <v>4</v>
      </c>
      <c r="O24" s="4">
        <f t="shared" si="1"/>
        <v>0</v>
      </c>
      <c r="P24" s="4"/>
    </row>
    <row r="25" spans="1:16" x14ac:dyDescent="0.3">
      <c r="A25" t="s">
        <v>137</v>
      </c>
      <c r="B25" t="s">
        <v>138</v>
      </c>
      <c r="C25" t="s">
        <v>222</v>
      </c>
      <c r="D25">
        <v>1576</v>
      </c>
      <c r="E25">
        <v>78.55</v>
      </c>
      <c r="F25">
        <v>49</v>
      </c>
      <c r="G25">
        <f t="shared" si="2"/>
        <v>63.774999999999999</v>
      </c>
      <c r="H25">
        <v>6</v>
      </c>
      <c r="I25">
        <v>13</v>
      </c>
      <c r="J25">
        <v>15</v>
      </c>
      <c r="K25" s="11" t="str">
        <f t="shared" si="0"/>
        <v>4</v>
      </c>
      <c r="L25" s="11">
        <v>5</v>
      </c>
      <c r="M25" s="11"/>
      <c r="O25" s="4">
        <f t="shared" si="1"/>
        <v>1</v>
      </c>
      <c r="P25" s="4"/>
    </row>
    <row r="26" spans="1:16" x14ac:dyDescent="0.3">
      <c r="A26" t="s">
        <v>139</v>
      </c>
      <c r="B26" t="s">
        <v>140</v>
      </c>
      <c r="C26" t="s">
        <v>139</v>
      </c>
      <c r="D26">
        <v>55</v>
      </c>
      <c r="E26">
        <v>65.45</v>
      </c>
      <c r="F26">
        <v>91.18</v>
      </c>
      <c r="G26">
        <f t="shared" si="2"/>
        <v>78.314999999999998</v>
      </c>
      <c r="H26">
        <v>7</v>
      </c>
      <c r="I26">
        <v>9</v>
      </c>
      <c r="J26">
        <v>12</v>
      </c>
      <c r="K26" s="11" t="str">
        <f t="shared" si="0"/>
        <v>4</v>
      </c>
      <c r="L26" s="11">
        <v>5</v>
      </c>
      <c r="M26" s="11"/>
      <c r="O26" s="4">
        <f t="shared" si="1"/>
        <v>1</v>
      </c>
      <c r="P26" s="4"/>
    </row>
    <row r="27" spans="1:16" x14ac:dyDescent="0.3">
      <c r="A27" t="s">
        <v>141</v>
      </c>
      <c r="B27" t="s">
        <v>142</v>
      </c>
      <c r="C27" t="s">
        <v>223</v>
      </c>
      <c r="D27">
        <v>39</v>
      </c>
      <c r="E27">
        <v>61.54</v>
      </c>
      <c r="F27">
        <v>42.86</v>
      </c>
      <c r="G27">
        <f t="shared" si="2"/>
        <v>52.2</v>
      </c>
      <c r="H27">
        <v>12</v>
      </c>
      <c r="I27">
        <v>15</v>
      </c>
      <c r="J27">
        <v>2</v>
      </c>
      <c r="K27" s="11" t="str">
        <f t="shared" si="0"/>
        <v>3</v>
      </c>
      <c r="L27" s="11">
        <v>5</v>
      </c>
      <c r="M27" s="11"/>
      <c r="O27" s="4">
        <f t="shared" si="1"/>
        <v>2</v>
      </c>
      <c r="P27" s="4"/>
    </row>
    <row r="28" spans="1:16" x14ac:dyDescent="0.3">
      <c r="A28" t="s">
        <v>15</v>
      </c>
      <c r="B28" t="s">
        <v>16</v>
      </c>
      <c r="C28" t="s">
        <v>15</v>
      </c>
      <c r="D28">
        <v>522</v>
      </c>
      <c r="E28">
        <v>83.91</v>
      </c>
      <c r="F28">
        <v>86.8</v>
      </c>
      <c r="G28">
        <f t="shared" si="2"/>
        <v>85.35499999999999</v>
      </c>
      <c r="H28">
        <v>8</v>
      </c>
      <c r="I28">
        <v>12</v>
      </c>
      <c r="J28">
        <v>15</v>
      </c>
      <c r="K28" s="11" t="str">
        <f t="shared" si="0"/>
        <v>5</v>
      </c>
      <c r="L28" s="11">
        <v>5</v>
      </c>
      <c r="M28" s="11"/>
      <c r="O28" s="4">
        <f t="shared" si="1"/>
        <v>0</v>
      </c>
      <c r="P28" s="4"/>
    </row>
    <row r="29" spans="1:16" x14ac:dyDescent="0.3">
      <c r="A29" t="s">
        <v>143</v>
      </c>
      <c r="B29" t="s">
        <v>17</v>
      </c>
      <c r="C29" t="s">
        <v>143</v>
      </c>
      <c r="D29">
        <v>126</v>
      </c>
      <c r="E29">
        <v>74.599999999999994</v>
      </c>
      <c r="F29">
        <v>48</v>
      </c>
      <c r="G29">
        <f t="shared" si="2"/>
        <v>61.3</v>
      </c>
      <c r="H29">
        <v>8</v>
      </c>
      <c r="I29">
        <v>9</v>
      </c>
      <c r="J29">
        <v>17</v>
      </c>
      <c r="K29" s="11" t="str">
        <f t="shared" si="0"/>
        <v>4</v>
      </c>
      <c r="L29" s="11">
        <v>5</v>
      </c>
      <c r="O29" s="4">
        <f t="shared" si="1"/>
        <v>1</v>
      </c>
      <c r="P29" s="4"/>
    </row>
    <row r="30" spans="1:16" x14ac:dyDescent="0.3">
      <c r="A30" t="s">
        <v>144</v>
      </c>
      <c r="B30" t="s">
        <v>145</v>
      </c>
      <c r="C30" t="s">
        <v>144</v>
      </c>
      <c r="D30">
        <v>208</v>
      </c>
      <c r="E30">
        <v>78.37</v>
      </c>
      <c r="F30">
        <v>84.03</v>
      </c>
      <c r="G30">
        <f t="shared" si="2"/>
        <v>81.2</v>
      </c>
      <c r="H30">
        <v>7</v>
      </c>
      <c r="I30">
        <v>13</v>
      </c>
      <c r="J30">
        <v>12</v>
      </c>
      <c r="K30" s="11" t="str">
        <f t="shared" si="0"/>
        <v>5</v>
      </c>
      <c r="L30" s="11">
        <v>5</v>
      </c>
      <c r="O30" s="4">
        <f t="shared" si="1"/>
        <v>0</v>
      </c>
      <c r="P30" s="4"/>
    </row>
    <row r="31" spans="1:16" x14ac:dyDescent="0.3">
      <c r="A31" t="s">
        <v>146</v>
      </c>
      <c r="B31" t="s">
        <v>147</v>
      </c>
      <c r="C31" t="s">
        <v>224</v>
      </c>
      <c r="D31">
        <v>101</v>
      </c>
      <c r="E31">
        <v>72.28</v>
      </c>
      <c r="F31">
        <v>50</v>
      </c>
      <c r="G31">
        <f t="shared" si="2"/>
        <v>61.14</v>
      </c>
      <c r="H31">
        <v>6</v>
      </c>
      <c r="I31">
        <v>13</v>
      </c>
      <c r="J31">
        <v>15</v>
      </c>
      <c r="K31" s="11" t="str">
        <f t="shared" si="0"/>
        <v>4</v>
      </c>
      <c r="L31" s="11">
        <v>5</v>
      </c>
      <c r="O31" s="4">
        <f t="shared" si="1"/>
        <v>1</v>
      </c>
      <c r="P31" s="4"/>
    </row>
    <row r="32" spans="1:16" ht="16.95" customHeight="1" x14ac:dyDescent="0.3">
      <c r="A32" t="s">
        <v>18</v>
      </c>
      <c r="B32" t="s">
        <v>19</v>
      </c>
      <c r="C32" t="s">
        <v>18</v>
      </c>
      <c r="D32">
        <v>458</v>
      </c>
      <c r="E32">
        <v>59.39</v>
      </c>
      <c r="F32">
        <v>46.95</v>
      </c>
      <c r="G32">
        <f t="shared" si="2"/>
        <v>53.17</v>
      </c>
      <c r="H32">
        <v>2</v>
      </c>
      <c r="I32">
        <v>15</v>
      </c>
      <c r="J32">
        <v>13</v>
      </c>
      <c r="K32" s="11" t="str">
        <f t="shared" si="0"/>
        <v>3</v>
      </c>
      <c r="L32" s="11">
        <v>5</v>
      </c>
      <c r="O32" s="4">
        <f t="shared" si="1"/>
        <v>2</v>
      </c>
      <c r="P32" s="4"/>
    </row>
    <row r="33" spans="1:16" x14ac:dyDescent="0.3">
      <c r="A33" t="s">
        <v>148</v>
      </c>
      <c r="B33" t="s">
        <v>20</v>
      </c>
      <c r="C33" t="s">
        <v>148</v>
      </c>
      <c r="D33">
        <v>171</v>
      </c>
      <c r="E33">
        <v>50.88</v>
      </c>
      <c r="F33">
        <v>38.46</v>
      </c>
      <c r="G33">
        <f t="shared" si="2"/>
        <v>44.67</v>
      </c>
      <c r="H33">
        <v>9</v>
      </c>
      <c r="I33">
        <v>17</v>
      </c>
      <c r="J33">
        <v>15</v>
      </c>
      <c r="K33" s="11" t="str">
        <f t="shared" si="0"/>
        <v>3</v>
      </c>
      <c r="L33" s="11">
        <v>5</v>
      </c>
      <c r="O33" s="4">
        <f t="shared" si="1"/>
        <v>2</v>
      </c>
      <c r="P33" s="4"/>
    </row>
    <row r="34" spans="1:16" x14ac:dyDescent="0.3">
      <c r="A34" t="s">
        <v>149</v>
      </c>
      <c r="B34" t="s">
        <v>21</v>
      </c>
      <c r="C34" t="s">
        <v>203</v>
      </c>
      <c r="D34">
        <v>75</v>
      </c>
      <c r="E34">
        <v>57.33</v>
      </c>
      <c r="F34">
        <v>40.909999999999997</v>
      </c>
      <c r="G34">
        <f t="shared" si="2"/>
        <v>49.12</v>
      </c>
      <c r="H34">
        <v>12</v>
      </c>
      <c r="I34">
        <v>11</v>
      </c>
      <c r="J34">
        <v>8</v>
      </c>
      <c r="K34" s="11" t="str">
        <f t="shared" ref="K34:K65" si="3">IF(G34&gt;$V$1,"5",IF(G34&gt;$W$1,"4",IF(G34&gt;$X$1,"3",IF(G34&gt;$Y$1,"2",IF(G34&gt;$Z$1,"1",IF(G34&gt;$AA$1,"0"))))))</f>
        <v>3</v>
      </c>
      <c r="L34" s="11">
        <v>5</v>
      </c>
      <c r="O34" s="4">
        <f t="shared" si="1"/>
        <v>2</v>
      </c>
      <c r="P34" s="4"/>
    </row>
    <row r="35" spans="1:16" x14ac:dyDescent="0.3">
      <c r="A35" t="s">
        <v>150</v>
      </c>
      <c r="B35" t="s">
        <v>151</v>
      </c>
      <c r="C35" t="s">
        <v>150</v>
      </c>
      <c r="D35">
        <v>346</v>
      </c>
      <c r="E35">
        <v>87.28</v>
      </c>
      <c r="F35">
        <v>84.13</v>
      </c>
      <c r="G35">
        <f t="shared" si="2"/>
        <v>85.704999999999998</v>
      </c>
      <c r="H35">
        <v>2</v>
      </c>
      <c r="I35">
        <v>12</v>
      </c>
      <c r="J35">
        <v>15</v>
      </c>
      <c r="K35" s="11" t="str">
        <f t="shared" si="3"/>
        <v>5</v>
      </c>
      <c r="L35" s="11">
        <v>5</v>
      </c>
      <c r="O35" s="4">
        <f t="shared" si="1"/>
        <v>0</v>
      </c>
      <c r="P35" s="4"/>
    </row>
    <row r="36" spans="1:16" x14ac:dyDescent="0.3">
      <c r="A36" t="s">
        <v>152</v>
      </c>
      <c r="B36" t="s">
        <v>153</v>
      </c>
      <c r="C36" t="s">
        <v>152</v>
      </c>
      <c r="D36">
        <v>1004</v>
      </c>
      <c r="E36">
        <v>87.15</v>
      </c>
      <c r="F36">
        <v>74.87</v>
      </c>
      <c r="G36">
        <f t="shared" si="2"/>
        <v>81.010000000000005</v>
      </c>
      <c r="H36">
        <v>11</v>
      </c>
      <c r="I36">
        <v>15</v>
      </c>
      <c r="J36">
        <v>13</v>
      </c>
      <c r="K36" s="11" t="str">
        <f t="shared" si="3"/>
        <v>5</v>
      </c>
      <c r="L36" s="11">
        <v>5</v>
      </c>
      <c r="O36" s="4">
        <f t="shared" si="1"/>
        <v>0</v>
      </c>
      <c r="P36" s="4"/>
    </row>
    <row r="37" spans="1:16" x14ac:dyDescent="0.3">
      <c r="A37" t="s">
        <v>154</v>
      </c>
      <c r="B37" t="s">
        <v>155</v>
      </c>
      <c r="C37" t="s">
        <v>154</v>
      </c>
      <c r="D37">
        <v>1726</v>
      </c>
      <c r="E37">
        <v>79.489999999999995</v>
      </c>
      <c r="F37">
        <v>45.68</v>
      </c>
      <c r="G37">
        <f t="shared" si="2"/>
        <v>62.584999999999994</v>
      </c>
      <c r="H37">
        <v>11</v>
      </c>
      <c r="I37">
        <v>7</v>
      </c>
      <c r="J37">
        <v>13</v>
      </c>
      <c r="K37" s="11" t="str">
        <f t="shared" si="3"/>
        <v>4</v>
      </c>
      <c r="L37" s="11">
        <v>5</v>
      </c>
      <c r="O37" s="4">
        <f t="shared" si="1"/>
        <v>1</v>
      </c>
      <c r="P37" s="4"/>
    </row>
    <row r="38" spans="1:16" x14ac:dyDescent="0.3">
      <c r="A38" t="s">
        <v>22</v>
      </c>
      <c r="B38" t="s">
        <v>23</v>
      </c>
      <c r="C38" t="s">
        <v>22</v>
      </c>
      <c r="D38">
        <v>425</v>
      </c>
      <c r="E38">
        <v>61.18</v>
      </c>
      <c r="F38">
        <v>45.27</v>
      </c>
      <c r="G38">
        <f t="shared" si="2"/>
        <v>53.225000000000001</v>
      </c>
      <c r="H38">
        <v>9</v>
      </c>
      <c r="I38">
        <v>12</v>
      </c>
      <c r="J38">
        <v>15</v>
      </c>
      <c r="K38" s="11" t="str">
        <f t="shared" si="3"/>
        <v>3</v>
      </c>
      <c r="L38" s="11">
        <v>5</v>
      </c>
      <c r="O38" s="4">
        <f t="shared" si="1"/>
        <v>2</v>
      </c>
      <c r="P38" s="4"/>
    </row>
    <row r="39" spans="1:16" x14ac:dyDescent="0.3">
      <c r="A39" t="s">
        <v>156</v>
      </c>
      <c r="B39" t="s">
        <v>157</v>
      </c>
      <c r="C39" t="s">
        <v>156</v>
      </c>
      <c r="D39">
        <v>276</v>
      </c>
      <c r="E39">
        <v>66.67</v>
      </c>
      <c r="F39">
        <v>64.52</v>
      </c>
      <c r="G39">
        <f t="shared" si="2"/>
        <v>65.594999999999999</v>
      </c>
      <c r="H39">
        <v>2</v>
      </c>
      <c r="I39">
        <v>15</v>
      </c>
      <c r="J39">
        <v>13</v>
      </c>
      <c r="K39" s="11" t="str">
        <f t="shared" si="3"/>
        <v>4</v>
      </c>
      <c r="L39" s="11">
        <v>5</v>
      </c>
      <c r="O39" s="4">
        <f t="shared" si="1"/>
        <v>1</v>
      </c>
      <c r="P39" s="4"/>
    </row>
    <row r="40" spans="1:16" x14ac:dyDescent="0.3">
      <c r="A40" t="s">
        <v>158</v>
      </c>
      <c r="B40" t="s">
        <v>159</v>
      </c>
      <c r="C40" t="s">
        <v>158</v>
      </c>
      <c r="D40">
        <v>1245</v>
      </c>
      <c r="E40">
        <v>69.16</v>
      </c>
      <c r="F40">
        <v>52.46</v>
      </c>
      <c r="G40">
        <f t="shared" si="2"/>
        <v>60.81</v>
      </c>
      <c r="H40">
        <v>6</v>
      </c>
      <c r="I40">
        <v>7</v>
      </c>
      <c r="J40">
        <v>12</v>
      </c>
      <c r="K40" s="11" t="str">
        <f t="shared" si="3"/>
        <v>4</v>
      </c>
      <c r="L40" s="11">
        <v>5</v>
      </c>
      <c r="O40" s="4">
        <f t="shared" si="1"/>
        <v>1</v>
      </c>
      <c r="P40" s="4"/>
    </row>
    <row r="41" spans="1:16" x14ac:dyDescent="0.3">
      <c r="A41" t="s">
        <v>160</v>
      </c>
      <c r="B41" t="s">
        <v>161</v>
      </c>
      <c r="C41" t="s">
        <v>225</v>
      </c>
      <c r="D41">
        <v>305</v>
      </c>
      <c r="E41">
        <v>61.64</v>
      </c>
      <c r="F41">
        <v>59.4</v>
      </c>
      <c r="G41">
        <f t="shared" si="2"/>
        <v>60.519999999999996</v>
      </c>
      <c r="H41">
        <v>2</v>
      </c>
      <c r="I41">
        <v>17</v>
      </c>
      <c r="J41">
        <v>8</v>
      </c>
      <c r="K41" s="11" t="str">
        <f t="shared" si="3"/>
        <v>4</v>
      </c>
      <c r="L41" s="11">
        <v>5</v>
      </c>
      <c r="O41" s="4">
        <f t="shared" si="1"/>
        <v>1</v>
      </c>
      <c r="P41" s="4"/>
    </row>
    <row r="42" spans="1:16" x14ac:dyDescent="0.3">
      <c r="A42" t="s">
        <v>162</v>
      </c>
      <c r="B42" t="s">
        <v>163</v>
      </c>
      <c r="C42" t="s">
        <v>162</v>
      </c>
      <c r="D42">
        <v>166</v>
      </c>
      <c r="E42">
        <v>57.23</v>
      </c>
      <c r="F42">
        <v>45.71</v>
      </c>
      <c r="G42">
        <f t="shared" si="2"/>
        <v>51.47</v>
      </c>
      <c r="H42">
        <v>16</v>
      </c>
      <c r="I42">
        <v>13</v>
      </c>
      <c r="J42">
        <v>15</v>
      </c>
      <c r="K42" s="11" t="str">
        <f t="shared" si="3"/>
        <v>3</v>
      </c>
      <c r="L42" s="11">
        <v>5</v>
      </c>
      <c r="O42" s="4">
        <f t="shared" si="1"/>
        <v>2</v>
      </c>
      <c r="P42" s="4"/>
    </row>
    <row r="43" spans="1:16" x14ac:dyDescent="0.3">
      <c r="A43" t="s">
        <v>24</v>
      </c>
      <c r="B43" t="s">
        <v>25</v>
      </c>
      <c r="C43" t="s">
        <v>24</v>
      </c>
      <c r="D43">
        <v>151</v>
      </c>
      <c r="E43">
        <v>61.59</v>
      </c>
      <c r="F43">
        <v>49.12</v>
      </c>
      <c r="G43">
        <f t="shared" si="2"/>
        <v>55.355000000000004</v>
      </c>
      <c r="H43">
        <v>15</v>
      </c>
      <c r="I43">
        <v>12</v>
      </c>
      <c r="J43">
        <v>9</v>
      </c>
      <c r="K43" s="11" t="str">
        <f t="shared" si="3"/>
        <v>3</v>
      </c>
      <c r="L43" s="11">
        <v>5</v>
      </c>
      <c r="O43" s="4">
        <f t="shared" si="1"/>
        <v>2</v>
      </c>
      <c r="P43" s="4"/>
    </row>
    <row r="44" spans="1:16" x14ac:dyDescent="0.3">
      <c r="A44" t="s">
        <v>164</v>
      </c>
      <c r="B44" t="s">
        <v>165</v>
      </c>
      <c r="C44" t="s">
        <v>164</v>
      </c>
      <c r="D44">
        <v>4046</v>
      </c>
      <c r="E44">
        <v>59.52</v>
      </c>
      <c r="F44">
        <v>64.180000000000007</v>
      </c>
      <c r="G44">
        <f t="shared" si="2"/>
        <v>61.850000000000009</v>
      </c>
      <c r="H44">
        <v>6</v>
      </c>
      <c r="I44">
        <v>7</v>
      </c>
      <c r="J44">
        <v>9</v>
      </c>
      <c r="K44" s="11" t="str">
        <f t="shared" si="3"/>
        <v>4</v>
      </c>
      <c r="L44" s="11">
        <v>5</v>
      </c>
      <c r="O44" s="4">
        <f t="shared" si="1"/>
        <v>1</v>
      </c>
      <c r="P44" s="4"/>
    </row>
    <row r="45" spans="1:16" x14ac:dyDescent="0.3">
      <c r="A45" t="s">
        <v>166</v>
      </c>
      <c r="B45" t="s">
        <v>167</v>
      </c>
      <c r="C45" t="s">
        <v>166</v>
      </c>
      <c r="D45">
        <v>190</v>
      </c>
      <c r="E45">
        <v>68.42</v>
      </c>
      <c r="F45">
        <v>60.71</v>
      </c>
      <c r="G45">
        <f t="shared" si="2"/>
        <v>64.564999999999998</v>
      </c>
      <c r="H45">
        <v>13</v>
      </c>
      <c r="I45">
        <v>15</v>
      </c>
      <c r="J45">
        <v>16</v>
      </c>
      <c r="K45" s="11" t="str">
        <f t="shared" si="3"/>
        <v>4</v>
      </c>
      <c r="L45" s="11">
        <v>5</v>
      </c>
      <c r="O45" s="4">
        <f t="shared" si="1"/>
        <v>1</v>
      </c>
      <c r="P45" s="4"/>
    </row>
    <row r="46" spans="1:16" x14ac:dyDescent="0.3">
      <c r="A46" t="s">
        <v>168</v>
      </c>
      <c r="B46" t="s">
        <v>26</v>
      </c>
      <c r="C46" t="s">
        <v>226</v>
      </c>
      <c r="D46">
        <v>295</v>
      </c>
      <c r="E46">
        <v>59.32</v>
      </c>
      <c r="F46">
        <v>55.4</v>
      </c>
      <c r="G46">
        <f t="shared" si="2"/>
        <v>57.36</v>
      </c>
      <c r="H46">
        <v>17</v>
      </c>
      <c r="I46">
        <v>5</v>
      </c>
      <c r="J46">
        <v>16</v>
      </c>
      <c r="K46" s="11" t="str">
        <f t="shared" si="3"/>
        <v>3</v>
      </c>
      <c r="L46" s="11">
        <v>5</v>
      </c>
      <c r="O46" s="4">
        <f t="shared" si="1"/>
        <v>2</v>
      </c>
      <c r="P46" s="4"/>
    </row>
    <row r="47" spans="1:16" x14ac:dyDescent="0.3">
      <c r="A47" t="s">
        <v>27</v>
      </c>
      <c r="B47" t="s">
        <v>28</v>
      </c>
      <c r="C47" t="s">
        <v>27</v>
      </c>
      <c r="D47">
        <v>127</v>
      </c>
      <c r="E47">
        <v>78.739999999999995</v>
      </c>
      <c r="F47">
        <v>59.38</v>
      </c>
      <c r="G47">
        <f t="shared" si="2"/>
        <v>69.06</v>
      </c>
      <c r="H47">
        <v>9</v>
      </c>
      <c r="I47">
        <v>8</v>
      </c>
      <c r="J47">
        <v>13</v>
      </c>
      <c r="K47" s="11" t="str">
        <f t="shared" si="3"/>
        <v>4</v>
      </c>
      <c r="L47" s="11">
        <v>5</v>
      </c>
      <c r="O47" s="4">
        <f t="shared" si="1"/>
        <v>1</v>
      </c>
      <c r="P47" s="4"/>
    </row>
    <row r="48" spans="1:16" x14ac:dyDescent="0.3">
      <c r="A48" t="s">
        <v>169</v>
      </c>
      <c r="B48" t="s">
        <v>170</v>
      </c>
      <c r="C48" t="s">
        <v>169</v>
      </c>
      <c r="D48">
        <v>238</v>
      </c>
      <c r="E48">
        <v>56.72</v>
      </c>
      <c r="F48">
        <v>38.159999999999997</v>
      </c>
      <c r="G48">
        <f t="shared" si="2"/>
        <v>47.44</v>
      </c>
      <c r="H48">
        <v>16</v>
      </c>
      <c r="I48">
        <v>8</v>
      </c>
      <c r="J48">
        <v>17</v>
      </c>
      <c r="K48" s="11" t="str">
        <f t="shared" si="3"/>
        <v>3</v>
      </c>
      <c r="L48" s="11">
        <v>5</v>
      </c>
      <c r="O48" s="4">
        <f t="shared" si="1"/>
        <v>2</v>
      </c>
      <c r="P48" s="4"/>
    </row>
    <row r="49" spans="1:16" x14ac:dyDescent="0.3">
      <c r="A49" t="s">
        <v>29</v>
      </c>
      <c r="B49" t="s">
        <v>30</v>
      </c>
      <c r="C49" t="s">
        <v>29</v>
      </c>
      <c r="D49">
        <v>90</v>
      </c>
      <c r="E49">
        <v>87.78</v>
      </c>
      <c r="F49">
        <v>66.2</v>
      </c>
      <c r="G49">
        <f t="shared" si="2"/>
        <v>76.990000000000009</v>
      </c>
      <c r="H49">
        <v>16</v>
      </c>
      <c r="I49">
        <v>10</v>
      </c>
      <c r="J49">
        <v>5</v>
      </c>
      <c r="K49" s="11" t="str">
        <f t="shared" si="3"/>
        <v>4</v>
      </c>
      <c r="L49" s="11">
        <v>5</v>
      </c>
      <c r="O49" s="4">
        <f t="shared" si="1"/>
        <v>1</v>
      </c>
      <c r="P49" s="4"/>
    </row>
    <row r="50" spans="1:16" x14ac:dyDescent="0.3">
      <c r="A50" t="s">
        <v>171</v>
      </c>
      <c r="B50" t="s">
        <v>172</v>
      </c>
      <c r="C50" t="s">
        <v>171</v>
      </c>
      <c r="D50">
        <v>229</v>
      </c>
      <c r="E50">
        <v>44.98</v>
      </c>
      <c r="F50">
        <v>44.16</v>
      </c>
      <c r="G50">
        <f t="shared" si="2"/>
        <v>44.569999999999993</v>
      </c>
      <c r="H50">
        <v>13</v>
      </c>
      <c r="I50">
        <v>15</v>
      </c>
      <c r="J50">
        <v>10</v>
      </c>
      <c r="K50" s="11" t="str">
        <f t="shared" si="3"/>
        <v>3</v>
      </c>
      <c r="L50" s="11">
        <v>5</v>
      </c>
      <c r="O50" s="4">
        <f t="shared" si="1"/>
        <v>2</v>
      </c>
      <c r="P50" s="4"/>
    </row>
    <row r="51" spans="1:16" x14ac:dyDescent="0.3">
      <c r="A51" t="s">
        <v>31</v>
      </c>
      <c r="B51" t="s">
        <v>173</v>
      </c>
      <c r="C51" t="s">
        <v>171</v>
      </c>
      <c r="D51">
        <v>229</v>
      </c>
      <c r="E51">
        <v>44.98</v>
      </c>
      <c r="F51">
        <v>44.16</v>
      </c>
      <c r="G51">
        <f t="shared" si="2"/>
        <v>44.569999999999993</v>
      </c>
      <c r="H51">
        <v>13</v>
      </c>
      <c r="I51">
        <v>15</v>
      </c>
      <c r="J51">
        <v>10</v>
      </c>
      <c r="K51" s="11" t="str">
        <f t="shared" si="3"/>
        <v>3</v>
      </c>
      <c r="L51" s="11">
        <v>5</v>
      </c>
      <c r="O51" s="4">
        <f t="shared" si="1"/>
        <v>2</v>
      </c>
      <c r="P51" s="4"/>
    </row>
    <row r="52" spans="1:16" x14ac:dyDescent="0.3">
      <c r="A52" t="s">
        <v>174</v>
      </c>
      <c r="B52" t="s">
        <v>32</v>
      </c>
      <c r="C52" t="s">
        <v>174</v>
      </c>
      <c r="D52">
        <v>293</v>
      </c>
      <c r="E52">
        <v>54.61</v>
      </c>
      <c r="F52">
        <v>49.53</v>
      </c>
      <c r="G52">
        <f t="shared" si="2"/>
        <v>52.07</v>
      </c>
      <c r="H52">
        <v>9</v>
      </c>
      <c r="I52">
        <v>17</v>
      </c>
      <c r="J52">
        <v>8</v>
      </c>
      <c r="K52" s="11" t="str">
        <f t="shared" si="3"/>
        <v>3</v>
      </c>
      <c r="L52" s="11">
        <v>5</v>
      </c>
      <c r="O52" s="4">
        <f t="shared" si="1"/>
        <v>2</v>
      </c>
      <c r="P52" s="4"/>
    </row>
    <row r="53" spans="1:16" x14ac:dyDescent="0.3">
      <c r="A53" t="s">
        <v>33</v>
      </c>
      <c r="B53" t="s">
        <v>34</v>
      </c>
      <c r="C53" t="s">
        <v>33</v>
      </c>
      <c r="D53">
        <v>350</v>
      </c>
      <c r="E53">
        <v>59.43</v>
      </c>
      <c r="F53">
        <v>60.51</v>
      </c>
      <c r="G53">
        <f t="shared" si="2"/>
        <v>59.97</v>
      </c>
      <c r="H53">
        <v>17</v>
      </c>
      <c r="I53">
        <v>9</v>
      </c>
      <c r="J53">
        <v>8</v>
      </c>
      <c r="K53" s="11" t="str">
        <f t="shared" si="3"/>
        <v>3</v>
      </c>
      <c r="L53" s="11">
        <v>5</v>
      </c>
      <c r="O53" s="4">
        <f t="shared" si="1"/>
        <v>2</v>
      </c>
      <c r="P53" s="4"/>
    </row>
    <row r="54" spans="1:16" x14ac:dyDescent="0.3">
      <c r="A54" t="s">
        <v>35</v>
      </c>
      <c r="B54" t="s">
        <v>36</v>
      </c>
      <c r="C54" t="s">
        <v>35</v>
      </c>
      <c r="D54">
        <v>135</v>
      </c>
      <c r="E54">
        <v>85.93</v>
      </c>
      <c r="F54">
        <v>80.36</v>
      </c>
      <c r="G54">
        <f t="shared" si="2"/>
        <v>83.14500000000001</v>
      </c>
      <c r="H54">
        <v>8</v>
      </c>
      <c r="I54">
        <v>9</v>
      </c>
      <c r="J54">
        <v>17</v>
      </c>
      <c r="K54" s="11" t="str">
        <f t="shared" si="3"/>
        <v>5</v>
      </c>
      <c r="L54" s="11">
        <v>5</v>
      </c>
      <c r="O54" s="4">
        <f t="shared" si="1"/>
        <v>0</v>
      </c>
      <c r="P54" s="4"/>
    </row>
    <row r="55" spans="1:16" x14ac:dyDescent="0.3">
      <c r="A55" t="s">
        <v>37</v>
      </c>
      <c r="B55" t="s">
        <v>38</v>
      </c>
      <c r="C55" t="s">
        <v>37</v>
      </c>
      <c r="D55">
        <v>542</v>
      </c>
      <c r="E55">
        <v>66.97</v>
      </c>
      <c r="F55">
        <v>47.29</v>
      </c>
      <c r="G55">
        <f t="shared" si="2"/>
        <v>57.129999999999995</v>
      </c>
      <c r="H55">
        <v>8</v>
      </c>
      <c r="I55">
        <v>16</v>
      </c>
      <c r="J55">
        <v>10</v>
      </c>
      <c r="K55" s="11" t="str">
        <f t="shared" si="3"/>
        <v>3</v>
      </c>
      <c r="L55" s="11">
        <v>5</v>
      </c>
      <c r="O55" s="4">
        <f t="shared" si="1"/>
        <v>2</v>
      </c>
      <c r="P55" s="4"/>
    </row>
    <row r="56" spans="1:16" x14ac:dyDescent="0.3">
      <c r="A56" t="s">
        <v>175</v>
      </c>
      <c r="B56" t="s">
        <v>39</v>
      </c>
      <c r="C56" t="s">
        <v>227</v>
      </c>
      <c r="D56">
        <v>329</v>
      </c>
      <c r="E56">
        <v>73.86</v>
      </c>
      <c r="F56">
        <v>57.32</v>
      </c>
      <c r="G56">
        <f t="shared" si="2"/>
        <v>65.59</v>
      </c>
      <c r="H56">
        <v>8</v>
      </c>
      <c r="I56">
        <v>16</v>
      </c>
      <c r="J56">
        <v>10</v>
      </c>
      <c r="K56" s="11" t="str">
        <f t="shared" si="3"/>
        <v>4</v>
      </c>
      <c r="L56" s="11">
        <v>5</v>
      </c>
      <c r="O56" s="4">
        <f t="shared" si="1"/>
        <v>1</v>
      </c>
      <c r="P56" s="4"/>
    </row>
    <row r="57" spans="1:16" x14ac:dyDescent="0.3">
      <c r="A57" t="s">
        <v>40</v>
      </c>
      <c r="B57" t="s">
        <v>41</v>
      </c>
      <c r="C57" t="s">
        <v>40</v>
      </c>
      <c r="D57">
        <v>407</v>
      </c>
      <c r="E57">
        <v>58.97</v>
      </c>
      <c r="F57">
        <v>44.72</v>
      </c>
      <c r="G57">
        <f t="shared" si="2"/>
        <v>51.844999999999999</v>
      </c>
      <c r="H57">
        <v>8</v>
      </c>
      <c r="I57">
        <v>9</v>
      </c>
      <c r="J57">
        <v>16</v>
      </c>
      <c r="K57" s="11" t="str">
        <f t="shared" si="3"/>
        <v>3</v>
      </c>
      <c r="L57" s="11">
        <v>5</v>
      </c>
      <c r="O57" s="4">
        <f t="shared" si="1"/>
        <v>2</v>
      </c>
      <c r="P57" s="4"/>
    </row>
    <row r="58" spans="1:16" x14ac:dyDescent="0.3">
      <c r="A58" t="s">
        <v>42</v>
      </c>
      <c r="B58" t="s">
        <v>43</v>
      </c>
      <c r="C58" t="s">
        <v>42</v>
      </c>
      <c r="D58">
        <v>909</v>
      </c>
      <c r="E58">
        <v>51.05</v>
      </c>
      <c r="F58">
        <v>70.14</v>
      </c>
      <c r="G58">
        <f t="shared" si="2"/>
        <v>60.594999999999999</v>
      </c>
      <c r="H58">
        <v>8</v>
      </c>
      <c r="I58">
        <v>9</v>
      </c>
      <c r="J58">
        <v>16</v>
      </c>
      <c r="K58" s="11" t="str">
        <f t="shared" si="3"/>
        <v>4</v>
      </c>
      <c r="L58" s="11">
        <v>5</v>
      </c>
      <c r="O58" s="4">
        <f t="shared" si="1"/>
        <v>1</v>
      </c>
      <c r="P58" s="4"/>
    </row>
    <row r="59" spans="1:16" x14ac:dyDescent="0.3">
      <c r="A59" t="s">
        <v>44</v>
      </c>
      <c r="B59" t="s">
        <v>45</v>
      </c>
      <c r="C59" t="s">
        <v>44</v>
      </c>
      <c r="D59">
        <v>287</v>
      </c>
      <c r="E59">
        <v>69.34</v>
      </c>
      <c r="F59">
        <v>72.19</v>
      </c>
      <c r="G59">
        <f t="shared" si="2"/>
        <v>70.765000000000001</v>
      </c>
      <c r="H59">
        <v>8</v>
      </c>
      <c r="I59">
        <v>5</v>
      </c>
      <c r="J59">
        <v>13</v>
      </c>
      <c r="K59" s="11" t="str">
        <f t="shared" si="3"/>
        <v>4</v>
      </c>
      <c r="L59" s="11">
        <v>5</v>
      </c>
      <c r="O59" s="4">
        <f t="shared" si="1"/>
        <v>1</v>
      </c>
      <c r="P59" s="4"/>
    </row>
    <row r="60" spans="1:16" x14ac:dyDescent="0.3">
      <c r="A60" t="s">
        <v>46</v>
      </c>
      <c r="B60" t="s">
        <v>47</v>
      </c>
      <c r="C60" t="s">
        <v>46</v>
      </c>
      <c r="D60">
        <v>220</v>
      </c>
      <c r="E60">
        <v>88.18</v>
      </c>
      <c r="F60">
        <v>88.14</v>
      </c>
      <c r="G60">
        <f t="shared" si="2"/>
        <v>88.16</v>
      </c>
      <c r="H60">
        <v>8</v>
      </c>
      <c r="I60">
        <v>9</v>
      </c>
      <c r="J60">
        <v>5</v>
      </c>
      <c r="K60" s="11" t="str">
        <f t="shared" si="3"/>
        <v>5</v>
      </c>
      <c r="L60" s="11">
        <v>5</v>
      </c>
      <c r="O60" s="4">
        <f t="shared" si="1"/>
        <v>0</v>
      </c>
      <c r="P60" s="4"/>
    </row>
    <row r="61" spans="1:16" x14ac:dyDescent="0.3">
      <c r="A61" t="s">
        <v>48</v>
      </c>
      <c r="B61" t="s">
        <v>49</v>
      </c>
      <c r="C61" t="s">
        <v>48</v>
      </c>
      <c r="D61">
        <v>427</v>
      </c>
      <c r="E61">
        <v>61.83</v>
      </c>
      <c r="F61">
        <v>64</v>
      </c>
      <c r="G61">
        <f t="shared" si="2"/>
        <v>62.914999999999999</v>
      </c>
      <c r="H61">
        <v>8</v>
      </c>
      <c r="I61">
        <v>16</v>
      </c>
      <c r="J61">
        <v>17</v>
      </c>
      <c r="K61" s="11" t="str">
        <f t="shared" si="3"/>
        <v>4</v>
      </c>
      <c r="L61" s="11">
        <v>5</v>
      </c>
      <c r="O61" s="4">
        <f t="shared" si="1"/>
        <v>1</v>
      </c>
      <c r="P61" s="4"/>
    </row>
    <row r="62" spans="1:16" x14ac:dyDescent="0.3">
      <c r="A62" t="s">
        <v>50</v>
      </c>
      <c r="B62" t="s">
        <v>49</v>
      </c>
      <c r="C62" t="s">
        <v>48</v>
      </c>
      <c r="D62">
        <v>427</v>
      </c>
      <c r="E62">
        <v>61.83</v>
      </c>
      <c r="F62">
        <v>64</v>
      </c>
      <c r="G62">
        <f t="shared" si="2"/>
        <v>62.914999999999999</v>
      </c>
      <c r="H62">
        <v>8</v>
      </c>
      <c r="I62">
        <v>16</v>
      </c>
      <c r="J62">
        <v>17</v>
      </c>
      <c r="K62" s="11" t="str">
        <f t="shared" si="3"/>
        <v>4</v>
      </c>
      <c r="L62" s="11">
        <v>5</v>
      </c>
      <c r="O62" s="4">
        <f t="shared" si="1"/>
        <v>1</v>
      </c>
      <c r="P62" s="4"/>
    </row>
    <row r="63" spans="1:16" x14ac:dyDescent="0.3">
      <c r="A63" t="s">
        <v>89</v>
      </c>
      <c r="B63" t="s">
        <v>176</v>
      </c>
      <c r="C63" t="s">
        <v>89</v>
      </c>
      <c r="D63">
        <v>244</v>
      </c>
      <c r="E63">
        <v>74.59</v>
      </c>
      <c r="F63">
        <v>88.68</v>
      </c>
      <c r="G63">
        <f t="shared" si="2"/>
        <v>81.635000000000005</v>
      </c>
      <c r="H63">
        <v>8</v>
      </c>
      <c r="I63">
        <v>9</v>
      </c>
      <c r="J63">
        <v>17</v>
      </c>
      <c r="K63" s="11" t="str">
        <f t="shared" si="3"/>
        <v>5</v>
      </c>
      <c r="L63" s="11">
        <v>5</v>
      </c>
      <c r="O63" s="4">
        <f t="shared" si="1"/>
        <v>0</v>
      </c>
      <c r="P63" s="4"/>
    </row>
    <row r="64" spans="1:16" x14ac:dyDescent="0.3">
      <c r="A64" t="s">
        <v>51</v>
      </c>
      <c r="B64" t="s">
        <v>52</v>
      </c>
      <c r="C64" t="s">
        <v>51</v>
      </c>
      <c r="D64">
        <v>443</v>
      </c>
      <c r="E64">
        <v>62.53</v>
      </c>
      <c r="F64">
        <v>43.02</v>
      </c>
      <c r="G64">
        <f t="shared" si="2"/>
        <v>52.775000000000006</v>
      </c>
      <c r="H64">
        <v>8</v>
      </c>
      <c r="I64">
        <v>10</v>
      </c>
      <c r="J64">
        <v>16</v>
      </c>
      <c r="K64" s="11" t="str">
        <f t="shared" si="3"/>
        <v>3</v>
      </c>
      <c r="L64" s="11">
        <v>5</v>
      </c>
      <c r="O64" s="4">
        <f t="shared" si="1"/>
        <v>2</v>
      </c>
      <c r="P64" s="4"/>
    </row>
    <row r="65" spans="1:16" x14ac:dyDescent="0.3">
      <c r="A65" t="s">
        <v>177</v>
      </c>
      <c r="B65" t="s">
        <v>178</v>
      </c>
      <c r="C65" t="s">
        <v>177</v>
      </c>
      <c r="D65">
        <v>213</v>
      </c>
      <c r="E65">
        <v>55.4</v>
      </c>
      <c r="F65">
        <v>43.9</v>
      </c>
      <c r="G65">
        <f t="shared" si="2"/>
        <v>49.65</v>
      </c>
      <c r="H65">
        <v>16</v>
      </c>
      <c r="I65">
        <v>8</v>
      </c>
      <c r="J65">
        <v>17</v>
      </c>
      <c r="K65" s="11" t="str">
        <f t="shared" si="3"/>
        <v>3</v>
      </c>
      <c r="L65" s="11">
        <v>5</v>
      </c>
      <c r="O65" s="4">
        <f t="shared" si="1"/>
        <v>2</v>
      </c>
      <c r="P65" s="4"/>
    </row>
    <row r="66" spans="1:16" x14ac:dyDescent="0.3">
      <c r="A66" t="s">
        <v>87</v>
      </c>
      <c r="B66" t="s">
        <v>88</v>
      </c>
      <c r="C66" t="s">
        <v>87</v>
      </c>
      <c r="D66">
        <v>215</v>
      </c>
      <c r="E66">
        <v>53.95</v>
      </c>
      <c r="F66">
        <v>53.66</v>
      </c>
      <c r="G66">
        <f t="shared" si="2"/>
        <v>53.805</v>
      </c>
      <c r="H66">
        <v>9</v>
      </c>
      <c r="I66">
        <v>8</v>
      </c>
      <c r="J66">
        <v>17</v>
      </c>
      <c r="K66" s="11" t="str">
        <f t="shared" ref="K66:K97" si="4">IF(G66&gt;$V$1,"5",IF(G66&gt;$W$1,"4",IF(G66&gt;$X$1,"3",IF(G66&gt;$Y$1,"2",IF(G66&gt;$Z$1,"1",IF(G66&gt;$AA$1,"0"))))))</f>
        <v>3</v>
      </c>
      <c r="L66" s="11">
        <v>5</v>
      </c>
      <c r="O66" s="4">
        <f t="shared" ref="O66:O101" si="5">ABS(K66-L66)</f>
        <v>2</v>
      </c>
      <c r="P66" s="4"/>
    </row>
    <row r="67" spans="1:16" x14ac:dyDescent="0.3">
      <c r="A67" t="s">
        <v>53</v>
      </c>
      <c r="B67" t="s">
        <v>54</v>
      </c>
      <c r="C67" t="s">
        <v>53</v>
      </c>
      <c r="D67">
        <v>746</v>
      </c>
      <c r="E67">
        <v>46.25</v>
      </c>
      <c r="F67">
        <v>52.48</v>
      </c>
      <c r="G67">
        <f t="shared" ref="G67:G101" si="6">$R$1*E67+$S$1*F67</f>
        <v>49.364999999999995</v>
      </c>
      <c r="H67">
        <v>9</v>
      </c>
      <c r="I67">
        <v>17</v>
      </c>
      <c r="J67">
        <v>8</v>
      </c>
      <c r="K67" s="11" t="str">
        <f t="shared" si="4"/>
        <v>3</v>
      </c>
      <c r="L67" s="11">
        <v>5</v>
      </c>
      <c r="O67" s="4">
        <f t="shared" si="5"/>
        <v>2</v>
      </c>
      <c r="P67" s="4"/>
    </row>
    <row r="68" spans="1:16" x14ac:dyDescent="0.3">
      <c r="A68" t="s">
        <v>55</v>
      </c>
      <c r="B68" t="s">
        <v>179</v>
      </c>
      <c r="C68" t="s">
        <v>55</v>
      </c>
      <c r="D68">
        <v>241</v>
      </c>
      <c r="E68">
        <v>54.77</v>
      </c>
      <c r="F68">
        <v>38.71</v>
      </c>
      <c r="G68">
        <f t="shared" si="6"/>
        <v>46.74</v>
      </c>
      <c r="H68">
        <v>16</v>
      </c>
      <c r="I68">
        <v>9</v>
      </c>
      <c r="J68">
        <v>8</v>
      </c>
      <c r="K68" s="11" t="str">
        <f t="shared" si="4"/>
        <v>3</v>
      </c>
      <c r="L68" s="11">
        <v>5</v>
      </c>
      <c r="M68" s="11"/>
      <c r="O68" s="4">
        <f t="shared" si="5"/>
        <v>2</v>
      </c>
      <c r="P68" s="4"/>
    </row>
    <row r="69" spans="1:16" x14ac:dyDescent="0.3">
      <c r="A69" t="s">
        <v>56</v>
      </c>
      <c r="B69" t="s">
        <v>180</v>
      </c>
      <c r="C69" t="s">
        <v>56</v>
      </c>
      <c r="D69">
        <v>591</v>
      </c>
      <c r="E69">
        <v>55.5</v>
      </c>
      <c r="F69">
        <v>40</v>
      </c>
      <c r="G69">
        <f t="shared" si="6"/>
        <v>47.75</v>
      </c>
      <c r="H69">
        <v>10</v>
      </c>
      <c r="I69">
        <v>16</v>
      </c>
      <c r="J69">
        <v>8</v>
      </c>
      <c r="K69" s="11" t="str">
        <f t="shared" si="4"/>
        <v>3</v>
      </c>
      <c r="L69" s="11">
        <v>5</v>
      </c>
      <c r="M69" s="11"/>
      <c r="O69" s="4">
        <f t="shared" si="5"/>
        <v>2</v>
      </c>
      <c r="P69" s="4"/>
    </row>
    <row r="70" spans="1:16" x14ac:dyDescent="0.3">
      <c r="A70" t="s">
        <v>57</v>
      </c>
      <c r="B70" t="s">
        <v>58</v>
      </c>
      <c r="C70" t="s">
        <v>57</v>
      </c>
      <c r="D70">
        <v>388</v>
      </c>
      <c r="E70">
        <v>44.33</v>
      </c>
      <c r="F70">
        <v>43.8</v>
      </c>
      <c r="G70">
        <f t="shared" si="6"/>
        <v>44.064999999999998</v>
      </c>
      <c r="H70">
        <v>16</v>
      </c>
      <c r="I70">
        <v>10</v>
      </c>
      <c r="J70">
        <v>8</v>
      </c>
      <c r="K70" s="11" t="str">
        <f t="shared" si="4"/>
        <v>3</v>
      </c>
      <c r="L70" s="11">
        <v>5</v>
      </c>
      <c r="O70" s="4">
        <f t="shared" si="5"/>
        <v>2</v>
      </c>
      <c r="P70" s="4"/>
    </row>
    <row r="71" spans="1:16" x14ac:dyDescent="0.3">
      <c r="A71" t="s">
        <v>59</v>
      </c>
      <c r="B71" t="s">
        <v>181</v>
      </c>
      <c r="C71" t="s">
        <v>59</v>
      </c>
      <c r="D71">
        <v>651</v>
      </c>
      <c r="E71">
        <v>53.61</v>
      </c>
      <c r="F71">
        <v>47.19</v>
      </c>
      <c r="G71">
        <f t="shared" si="6"/>
        <v>50.4</v>
      </c>
      <c r="H71">
        <v>9</v>
      </c>
      <c r="I71">
        <v>8</v>
      </c>
      <c r="J71">
        <v>17</v>
      </c>
      <c r="K71" s="11" t="str">
        <f t="shared" si="4"/>
        <v>3</v>
      </c>
      <c r="L71" s="11">
        <v>5</v>
      </c>
      <c r="O71" s="4">
        <f t="shared" si="5"/>
        <v>2</v>
      </c>
      <c r="P71" s="4"/>
    </row>
    <row r="72" spans="1:16" x14ac:dyDescent="0.3">
      <c r="A72" t="s">
        <v>93</v>
      </c>
      <c r="B72" t="s">
        <v>94</v>
      </c>
      <c r="C72" t="s">
        <v>228</v>
      </c>
      <c r="D72">
        <v>481</v>
      </c>
      <c r="E72">
        <v>44.49</v>
      </c>
      <c r="F72">
        <v>55.7</v>
      </c>
      <c r="G72">
        <f t="shared" si="6"/>
        <v>50.094999999999999</v>
      </c>
      <c r="H72">
        <v>8</v>
      </c>
      <c r="I72">
        <v>9</v>
      </c>
      <c r="J72">
        <v>10</v>
      </c>
      <c r="K72" s="11" t="str">
        <f t="shared" si="4"/>
        <v>3</v>
      </c>
      <c r="L72" s="11">
        <v>5</v>
      </c>
      <c r="O72" s="4">
        <f t="shared" si="5"/>
        <v>2</v>
      </c>
      <c r="P72" s="4"/>
    </row>
    <row r="73" spans="1:16" x14ac:dyDescent="0.3">
      <c r="A73" t="s">
        <v>92</v>
      </c>
      <c r="B73" t="s">
        <v>182</v>
      </c>
      <c r="C73" t="s">
        <v>92</v>
      </c>
      <c r="D73">
        <v>281</v>
      </c>
      <c r="E73">
        <v>41.99</v>
      </c>
      <c r="F73">
        <v>53.49</v>
      </c>
      <c r="G73">
        <f t="shared" si="6"/>
        <v>47.74</v>
      </c>
      <c r="H73">
        <v>9</v>
      </c>
      <c r="I73">
        <v>8</v>
      </c>
      <c r="J73">
        <v>10</v>
      </c>
      <c r="K73" s="11" t="str">
        <f t="shared" si="4"/>
        <v>3</v>
      </c>
      <c r="L73" s="11">
        <v>5</v>
      </c>
      <c r="O73" s="4">
        <f t="shared" si="5"/>
        <v>2</v>
      </c>
      <c r="P73" s="4"/>
    </row>
    <row r="74" spans="1:16" x14ac:dyDescent="0.3">
      <c r="A74" t="s">
        <v>60</v>
      </c>
      <c r="B74" t="s">
        <v>183</v>
      </c>
      <c r="C74" t="s">
        <v>60</v>
      </c>
      <c r="D74">
        <v>269</v>
      </c>
      <c r="E74">
        <v>51.3</v>
      </c>
      <c r="F74">
        <v>42.42</v>
      </c>
      <c r="G74">
        <f t="shared" si="6"/>
        <v>46.86</v>
      </c>
      <c r="H74">
        <v>16</v>
      </c>
      <c r="I74">
        <v>10</v>
      </c>
      <c r="J74">
        <v>8</v>
      </c>
      <c r="K74" s="11" t="str">
        <f t="shared" si="4"/>
        <v>3</v>
      </c>
      <c r="L74" s="11">
        <v>5</v>
      </c>
      <c r="O74" s="4">
        <f t="shared" si="5"/>
        <v>2</v>
      </c>
      <c r="P74" s="4"/>
    </row>
    <row r="75" spans="1:16" x14ac:dyDescent="0.3">
      <c r="A75" t="s">
        <v>61</v>
      </c>
      <c r="B75" t="s">
        <v>184</v>
      </c>
      <c r="C75" t="s">
        <v>61</v>
      </c>
      <c r="D75">
        <v>442</v>
      </c>
      <c r="E75">
        <v>58.6</v>
      </c>
      <c r="F75">
        <v>69.650000000000006</v>
      </c>
      <c r="G75">
        <f t="shared" si="6"/>
        <v>64.125</v>
      </c>
      <c r="H75">
        <v>8</v>
      </c>
      <c r="I75">
        <v>16</v>
      </c>
      <c r="J75">
        <v>10</v>
      </c>
      <c r="K75" s="11" t="str">
        <f t="shared" si="4"/>
        <v>4</v>
      </c>
      <c r="L75" s="11">
        <v>5</v>
      </c>
      <c r="O75" s="4">
        <f t="shared" si="5"/>
        <v>1</v>
      </c>
      <c r="P75" s="4"/>
    </row>
    <row r="76" spans="1:16" x14ac:dyDescent="0.3">
      <c r="A76" t="s">
        <v>62</v>
      </c>
      <c r="B76" t="s">
        <v>63</v>
      </c>
      <c r="C76" t="s">
        <v>62</v>
      </c>
      <c r="D76">
        <v>325</v>
      </c>
      <c r="E76">
        <v>45.54</v>
      </c>
      <c r="F76">
        <v>38.96</v>
      </c>
      <c r="G76">
        <f t="shared" si="6"/>
        <v>42.25</v>
      </c>
      <c r="H76">
        <v>9</v>
      </c>
      <c r="I76">
        <v>8</v>
      </c>
      <c r="J76">
        <v>16</v>
      </c>
      <c r="K76" s="11" t="str">
        <f t="shared" si="4"/>
        <v>3</v>
      </c>
      <c r="L76" s="11">
        <v>5</v>
      </c>
      <c r="O76" s="4">
        <f t="shared" si="5"/>
        <v>2</v>
      </c>
      <c r="P76" s="4"/>
    </row>
    <row r="77" spans="1:16" x14ac:dyDescent="0.3">
      <c r="A77" t="s">
        <v>64</v>
      </c>
      <c r="B77" t="s">
        <v>185</v>
      </c>
      <c r="C77" t="s">
        <v>64</v>
      </c>
      <c r="D77">
        <v>1681</v>
      </c>
      <c r="E77">
        <v>58.66</v>
      </c>
      <c r="F77">
        <v>44.56</v>
      </c>
      <c r="G77">
        <f t="shared" si="6"/>
        <v>51.61</v>
      </c>
      <c r="H77">
        <v>8</v>
      </c>
      <c r="I77">
        <v>16</v>
      </c>
      <c r="J77">
        <v>17</v>
      </c>
      <c r="K77" s="11" t="str">
        <f t="shared" si="4"/>
        <v>3</v>
      </c>
      <c r="L77" s="11">
        <v>5</v>
      </c>
      <c r="O77" s="4">
        <f t="shared" si="5"/>
        <v>2</v>
      </c>
      <c r="P77" s="4"/>
    </row>
    <row r="78" spans="1:16" x14ac:dyDescent="0.3">
      <c r="A78" t="s">
        <v>65</v>
      </c>
      <c r="B78" t="s">
        <v>66</v>
      </c>
      <c r="C78" t="s">
        <v>65</v>
      </c>
      <c r="D78">
        <v>296</v>
      </c>
      <c r="E78">
        <v>67.23</v>
      </c>
      <c r="F78">
        <v>50.6</v>
      </c>
      <c r="G78">
        <f t="shared" si="6"/>
        <v>58.915000000000006</v>
      </c>
      <c r="H78">
        <v>16</v>
      </c>
      <c r="I78">
        <v>10</v>
      </c>
      <c r="J78">
        <v>8</v>
      </c>
      <c r="K78" s="11" t="str">
        <f t="shared" si="4"/>
        <v>3</v>
      </c>
      <c r="L78" s="11">
        <v>5</v>
      </c>
      <c r="O78" s="4">
        <f t="shared" si="5"/>
        <v>2</v>
      </c>
      <c r="P78" s="4"/>
    </row>
    <row r="79" spans="1:16" x14ac:dyDescent="0.3">
      <c r="A79" t="s">
        <v>67</v>
      </c>
      <c r="B79" t="s">
        <v>186</v>
      </c>
      <c r="C79" t="s">
        <v>229</v>
      </c>
      <c r="D79">
        <v>462</v>
      </c>
      <c r="E79">
        <v>50.43</v>
      </c>
      <c r="F79">
        <v>45.56</v>
      </c>
      <c r="G79">
        <f t="shared" si="6"/>
        <v>47.995000000000005</v>
      </c>
      <c r="H79">
        <v>17</v>
      </c>
      <c r="I79">
        <v>8</v>
      </c>
      <c r="J79">
        <v>16</v>
      </c>
      <c r="K79" s="11" t="str">
        <f t="shared" si="4"/>
        <v>3</v>
      </c>
      <c r="L79" s="11">
        <v>2</v>
      </c>
      <c r="O79" s="4">
        <f t="shared" si="5"/>
        <v>1</v>
      </c>
      <c r="P79" s="4"/>
    </row>
    <row r="80" spans="1:16" x14ac:dyDescent="0.3">
      <c r="A80" t="s">
        <v>68</v>
      </c>
      <c r="B80" t="s">
        <v>187</v>
      </c>
      <c r="C80" t="s">
        <v>68</v>
      </c>
      <c r="D80">
        <v>257</v>
      </c>
      <c r="E80">
        <v>57.2</v>
      </c>
      <c r="F80">
        <v>42.86</v>
      </c>
      <c r="G80">
        <f t="shared" si="6"/>
        <v>50.03</v>
      </c>
      <c r="H80">
        <v>8</v>
      </c>
      <c r="I80">
        <v>10</v>
      </c>
      <c r="J80">
        <v>16</v>
      </c>
      <c r="K80" s="11" t="str">
        <f t="shared" si="4"/>
        <v>3</v>
      </c>
      <c r="L80" s="11">
        <v>4</v>
      </c>
      <c r="O80" s="4">
        <f t="shared" si="5"/>
        <v>1</v>
      </c>
      <c r="P80" s="4"/>
    </row>
    <row r="81" spans="1:16" x14ac:dyDescent="0.3">
      <c r="A81" t="s">
        <v>188</v>
      </c>
      <c r="B81" t="s">
        <v>83</v>
      </c>
      <c r="C81" t="s">
        <v>230</v>
      </c>
      <c r="D81">
        <v>683</v>
      </c>
      <c r="E81">
        <v>59.74</v>
      </c>
      <c r="F81">
        <v>51.08</v>
      </c>
      <c r="G81">
        <f t="shared" si="6"/>
        <v>55.41</v>
      </c>
      <c r="H81">
        <v>17</v>
      </c>
      <c r="I81">
        <v>8</v>
      </c>
      <c r="J81">
        <v>9</v>
      </c>
      <c r="K81" s="11" t="str">
        <f t="shared" si="4"/>
        <v>3</v>
      </c>
      <c r="L81" s="11">
        <v>5</v>
      </c>
      <c r="M81" s="11"/>
      <c r="O81" s="4">
        <f t="shared" si="5"/>
        <v>2</v>
      </c>
      <c r="P81" s="4"/>
    </row>
    <row r="82" spans="1:16" x14ac:dyDescent="0.3">
      <c r="A82" t="s">
        <v>98</v>
      </c>
      <c r="B82" t="s">
        <v>99</v>
      </c>
      <c r="C82" t="s">
        <v>98</v>
      </c>
      <c r="D82">
        <v>397</v>
      </c>
      <c r="E82">
        <v>51.13</v>
      </c>
      <c r="F82">
        <v>39.51</v>
      </c>
      <c r="G82">
        <f t="shared" si="6"/>
        <v>45.32</v>
      </c>
      <c r="H82">
        <v>8</v>
      </c>
      <c r="I82">
        <v>16</v>
      </c>
      <c r="J82">
        <v>17</v>
      </c>
      <c r="K82" s="11" t="str">
        <f t="shared" si="4"/>
        <v>3</v>
      </c>
      <c r="L82" s="11">
        <v>5</v>
      </c>
      <c r="M82" s="11"/>
      <c r="O82" s="4">
        <f t="shared" si="5"/>
        <v>2</v>
      </c>
      <c r="P82" s="4"/>
    </row>
    <row r="83" spans="1:16" x14ac:dyDescent="0.3">
      <c r="A83" t="s">
        <v>90</v>
      </c>
      <c r="B83" t="s">
        <v>91</v>
      </c>
      <c r="C83" t="s">
        <v>90</v>
      </c>
      <c r="D83">
        <v>191</v>
      </c>
      <c r="E83">
        <v>54.97</v>
      </c>
      <c r="F83">
        <v>56.34</v>
      </c>
      <c r="G83">
        <f t="shared" si="6"/>
        <v>55.655000000000001</v>
      </c>
      <c r="H83">
        <v>8</v>
      </c>
      <c r="I83">
        <v>17</v>
      </c>
      <c r="J83">
        <v>9</v>
      </c>
      <c r="K83" s="11" t="str">
        <f t="shared" si="4"/>
        <v>3</v>
      </c>
      <c r="L83" s="11">
        <v>5</v>
      </c>
      <c r="M83" s="11"/>
      <c r="O83" s="4">
        <f t="shared" si="5"/>
        <v>2</v>
      </c>
    </row>
    <row r="84" spans="1:16" x14ac:dyDescent="0.3">
      <c r="A84" t="s">
        <v>69</v>
      </c>
      <c r="B84" t="s">
        <v>189</v>
      </c>
      <c r="C84" t="s">
        <v>69</v>
      </c>
      <c r="D84">
        <v>308</v>
      </c>
      <c r="E84">
        <v>35.39</v>
      </c>
      <c r="F84">
        <v>47.89</v>
      </c>
      <c r="G84">
        <f t="shared" si="6"/>
        <v>41.64</v>
      </c>
      <c r="H84">
        <v>9</v>
      </c>
      <c r="I84">
        <v>16</v>
      </c>
      <c r="J84">
        <v>8</v>
      </c>
      <c r="K84" s="11" t="str">
        <f t="shared" si="4"/>
        <v>3</v>
      </c>
      <c r="L84" s="11">
        <v>5</v>
      </c>
      <c r="M84" s="11"/>
      <c r="O84" s="4">
        <f t="shared" si="5"/>
        <v>2</v>
      </c>
    </row>
    <row r="85" spans="1:16" x14ac:dyDescent="0.3">
      <c r="A85" t="s">
        <v>190</v>
      </c>
      <c r="B85" t="s">
        <v>191</v>
      </c>
      <c r="C85" t="s">
        <v>231</v>
      </c>
      <c r="D85">
        <v>499</v>
      </c>
      <c r="E85">
        <v>54.31</v>
      </c>
      <c r="F85">
        <v>49.52</v>
      </c>
      <c r="G85">
        <f t="shared" si="6"/>
        <v>51.915000000000006</v>
      </c>
      <c r="H85">
        <v>17</v>
      </c>
      <c r="I85">
        <v>8</v>
      </c>
      <c r="J85">
        <v>9</v>
      </c>
      <c r="K85" s="11" t="str">
        <f t="shared" si="4"/>
        <v>3</v>
      </c>
      <c r="L85" s="11">
        <v>5</v>
      </c>
      <c r="M85" s="11"/>
      <c r="O85" s="4">
        <f t="shared" si="5"/>
        <v>2</v>
      </c>
    </row>
    <row r="86" spans="1:16" x14ac:dyDescent="0.3">
      <c r="A86" t="s">
        <v>192</v>
      </c>
      <c r="B86" t="s">
        <v>193</v>
      </c>
      <c r="C86" t="s">
        <v>232</v>
      </c>
      <c r="D86">
        <v>513</v>
      </c>
      <c r="E86">
        <v>53.8</v>
      </c>
      <c r="F86">
        <v>46.64</v>
      </c>
      <c r="G86">
        <f t="shared" si="6"/>
        <v>50.22</v>
      </c>
      <c r="H86">
        <v>8</v>
      </c>
      <c r="I86">
        <v>16</v>
      </c>
      <c r="J86">
        <v>17</v>
      </c>
      <c r="K86" s="11" t="str">
        <f t="shared" si="4"/>
        <v>3</v>
      </c>
      <c r="L86" s="11">
        <v>5</v>
      </c>
      <c r="M86" s="11"/>
      <c r="O86" s="4">
        <f t="shared" si="5"/>
        <v>2</v>
      </c>
    </row>
    <row r="87" spans="1:16" x14ac:dyDescent="0.3">
      <c r="A87" t="s">
        <v>70</v>
      </c>
      <c r="B87" t="s">
        <v>194</v>
      </c>
      <c r="C87" t="s">
        <v>70</v>
      </c>
      <c r="D87">
        <v>238</v>
      </c>
      <c r="E87">
        <v>52.1</v>
      </c>
      <c r="F87">
        <v>58.49</v>
      </c>
      <c r="G87">
        <f t="shared" si="6"/>
        <v>55.295000000000002</v>
      </c>
      <c r="H87">
        <v>8</v>
      </c>
      <c r="I87">
        <v>17</v>
      </c>
      <c r="J87">
        <v>16</v>
      </c>
      <c r="K87" s="11" t="str">
        <f t="shared" si="4"/>
        <v>3</v>
      </c>
      <c r="L87" s="11">
        <v>5</v>
      </c>
      <c r="O87" s="4">
        <f t="shared" si="5"/>
        <v>2</v>
      </c>
    </row>
    <row r="88" spans="1:16" x14ac:dyDescent="0.3">
      <c r="A88" t="s">
        <v>71</v>
      </c>
      <c r="B88" t="s">
        <v>195</v>
      </c>
      <c r="C88" t="s">
        <v>71</v>
      </c>
      <c r="D88">
        <v>549</v>
      </c>
      <c r="E88">
        <v>47.36</v>
      </c>
      <c r="F88">
        <v>48.7</v>
      </c>
      <c r="G88">
        <f t="shared" si="6"/>
        <v>48.03</v>
      </c>
      <c r="H88">
        <v>16</v>
      </c>
      <c r="I88">
        <v>8</v>
      </c>
      <c r="J88">
        <v>9</v>
      </c>
      <c r="K88" s="11" t="str">
        <f t="shared" si="4"/>
        <v>3</v>
      </c>
      <c r="L88" s="11">
        <v>5</v>
      </c>
      <c r="O88" s="4">
        <f t="shared" si="5"/>
        <v>2</v>
      </c>
    </row>
    <row r="89" spans="1:16" x14ac:dyDescent="0.3">
      <c r="A89" t="s">
        <v>95</v>
      </c>
      <c r="B89" t="s">
        <v>96</v>
      </c>
      <c r="C89" t="s">
        <v>95</v>
      </c>
      <c r="D89">
        <v>162</v>
      </c>
      <c r="E89">
        <v>53.09</v>
      </c>
      <c r="F89">
        <v>39.47</v>
      </c>
      <c r="G89">
        <f t="shared" si="6"/>
        <v>46.28</v>
      </c>
      <c r="H89">
        <v>8</v>
      </c>
      <c r="I89">
        <v>16</v>
      </c>
      <c r="J89">
        <v>17</v>
      </c>
      <c r="K89" s="11" t="str">
        <f t="shared" si="4"/>
        <v>3</v>
      </c>
      <c r="L89" s="11">
        <v>5</v>
      </c>
      <c r="O89" s="4">
        <f t="shared" si="5"/>
        <v>2</v>
      </c>
    </row>
    <row r="90" spans="1:16" x14ac:dyDescent="0.3">
      <c r="A90" t="s">
        <v>72</v>
      </c>
      <c r="B90" t="s">
        <v>196</v>
      </c>
      <c r="C90" t="s">
        <v>72</v>
      </c>
      <c r="D90">
        <v>226</v>
      </c>
      <c r="E90">
        <v>53.1</v>
      </c>
      <c r="F90">
        <v>50</v>
      </c>
      <c r="G90">
        <f t="shared" si="6"/>
        <v>51.55</v>
      </c>
      <c r="H90">
        <v>8</v>
      </c>
      <c r="I90">
        <v>9</v>
      </c>
      <c r="J90">
        <v>5</v>
      </c>
      <c r="K90" s="11" t="str">
        <f t="shared" si="4"/>
        <v>3</v>
      </c>
      <c r="L90" s="11">
        <v>5</v>
      </c>
      <c r="O90" s="4">
        <f t="shared" si="5"/>
        <v>2</v>
      </c>
    </row>
    <row r="91" spans="1:16" x14ac:dyDescent="0.3">
      <c r="A91" t="s">
        <v>73</v>
      </c>
      <c r="B91" t="s">
        <v>197</v>
      </c>
      <c r="C91" t="s">
        <v>73</v>
      </c>
      <c r="D91">
        <v>220</v>
      </c>
      <c r="E91">
        <v>59.55</v>
      </c>
      <c r="F91">
        <v>47.27</v>
      </c>
      <c r="G91">
        <f t="shared" si="6"/>
        <v>53.41</v>
      </c>
      <c r="H91">
        <v>17</v>
      </c>
      <c r="I91">
        <v>8</v>
      </c>
      <c r="J91">
        <v>9</v>
      </c>
      <c r="K91" s="11" t="str">
        <f t="shared" si="4"/>
        <v>3</v>
      </c>
      <c r="L91" s="11">
        <v>5</v>
      </c>
      <c r="O91" s="4">
        <f t="shared" si="5"/>
        <v>2</v>
      </c>
    </row>
    <row r="92" spans="1:16" x14ac:dyDescent="0.3">
      <c r="A92" t="s">
        <v>74</v>
      </c>
      <c r="B92" t="s">
        <v>198</v>
      </c>
      <c r="C92" t="s">
        <v>74</v>
      </c>
      <c r="D92">
        <v>487</v>
      </c>
      <c r="E92">
        <v>61.19</v>
      </c>
      <c r="F92">
        <v>49.55</v>
      </c>
      <c r="G92">
        <f t="shared" si="6"/>
        <v>55.37</v>
      </c>
      <c r="H92">
        <v>8</v>
      </c>
      <c r="I92">
        <v>10</v>
      </c>
      <c r="J92">
        <v>5</v>
      </c>
      <c r="K92" s="11" t="str">
        <f t="shared" si="4"/>
        <v>3</v>
      </c>
      <c r="L92" s="11">
        <v>5</v>
      </c>
      <c r="O92" s="4">
        <f t="shared" si="5"/>
        <v>2</v>
      </c>
    </row>
    <row r="93" spans="1:16" x14ac:dyDescent="0.3">
      <c r="A93" t="s">
        <v>199</v>
      </c>
      <c r="B93" t="s">
        <v>200</v>
      </c>
      <c r="C93" t="s">
        <v>233</v>
      </c>
      <c r="D93">
        <v>339</v>
      </c>
      <c r="E93">
        <v>52.51</v>
      </c>
      <c r="F93">
        <v>46.56</v>
      </c>
      <c r="G93">
        <f t="shared" si="6"/>
        <v>49.534999999999997</v>
      </c>
      <c r="H93">
        <v>9</v>
      </c>
      <c r="I93">
        <v>16</v>
      </c>
      <c r="J93">
        <v>8</v>
      </c>
      <c r="K93" s="11" t="str">
        <f t="shared" si="4"/>
        <v>3</v>
      </c>
      <c r="L93" s="11">
        <v>5</v>
      </c>
      <c r="O93" s="4">
        <f t="shared" si="5"/>
        <v>2</v>
      </c>
    </row>
    <row r="94" spans="1:16" x14ac:dyDescent="0.3">
      <c r="A94" t="s">
        <v>201</v>
      </c>
      <c r="B94" t="s">
        <v>75</v>
      </c>
      <c r="C94" t="s">
        <v>234</v>
      </c>
      <c r="D94">
        <v>228</v>
      </c>
      <c r="E94">
        <v>68.42</v>
      </c>
      <c r="F94">
        <v>60.36</v>
      </c>
      <c r="G94">
        <f t="shared" si="6"/>
        <v>64.39</v>
      </c>
      <c r="H94">
        <v>8</v>
      </c>
      <c r="I94">
        <v>1</v>
      </c>
      <c r="J94">
        <v>16</v>
      </c>
      <c r="K94" s="11" t="str">
        <f t="shared" si="4"/>
        <v>4</v>
      </c>
      <c r="L94" s="11">
        <v>5</v>
      </c>
      <c r="O94" s="4">
        <f t="shared" si="5"/>
        <v>1</v>
      </c>
    </row>
    <row r="95" spans="1:16" x14ac:dyDescent="0.3">
      <c r="A95" t="s">
        <v>76</v>
      </c>
      <c r="B95" t="s">
        <v>77</v>
      </c>
      <c r="C95" t="s">
        <v>76</v>
      </c>
      <c r="D95">
        <v>776</v>
      </c>
      <c r="E95">
        <v>84.66</v>
      </c>
      <c r="F95">
        <v>68.87</v>
      </c>
      <c r="G95">
        <f t="shared" si="6"/>
        <v>76.765000000000001</v>
      </c>
      <c r="H95">
        <v>9</v>
      </c>
      <c r="I95">
        <v>8</v>
      </c>
      <c r="J95">
        <v>17</v>
      </c>
      <c r="K95" s="11" t="str">
        <f t="shared" si="4"/>
        <v>4</v>
      </c>
      <c r="L95" s="11">
        <v>5</v>
      </c>
      <c r="O95" s="4">
        <f t="shared" si="5"/>
        <v>1</v>
      </c>
    </row>
    <row r="96" spans="1:16" x14ac:dyDescent="0.3">
      <c r="A96" t="s">
        <v>84</v>
      </c>
      <c r="B96" t="s">
        <v>85</v>
      </c>
      <c r="C96" t="s">
        <v>84</v>
      </c>
      <c r="D96">
        <v>112</v>
      </c>
      <c r="E96">
        <v>78.569999999999993</v>
      </c>
      <c r="F96">
        <v>71.430000000000007</v>
      </c>
      <c r="G96">
        <f t="shared" si="6"/>
        <v>75</v>
      </c>
      <c r="H96">
        <v>15</v>
      </c>
      <c r="I96">
        <v>13</v>
      </c>
      <c r="J96">
        <v>12</v>
      </c>
      <c r="K96" s="11" t="str">
        <f t="shared" si="4"/>
        <v>4</v>
      </c>
      <c r="L96" s="11">
        <v>5</v>
      </c>
      <c r="O96" s="4">
        <f t="shared" si="5"/>
        <v>1</v>
      </c>
    </row>
    <row r="97" spans="1:15" x14ac:dyDescent="0.3">
      <c r="A97" t="s">
        <v>86</v>
      </c>
      <c r="B97" t="s">
        <v>202</v>
      </c>
      <c r="C97" t="s">
        <v>86</v>
      </c>
      <c r="D97">
        <v>203</v>
      </c>
      <c r="E97">
        <v>91.13</v>
      </c>
      <c r="F97">
        <v>84.83</v>
      </c>
      <c r="G97">
        <f t="shared" si="6"/>
        <v>87.97999999999999</v>
      </c>
      <c r="H97">
        <v>9</v>
      </c>
      <c r="I97">
        <v>17</v>
      </c>
      <c r="J97">
        <v>8</v>
      </c>
      <c r="K97" s="11" t="str">
        <f t="shared" si="4"/>
        <v>5</v>
      </c>
      <c r="L97" s="11">
        <v>5</v>
      </c>
      <c r="O97" s="4">
        <f t="shared" si="5"/>
        <v>0</v>
      </c>
    </row>
    <row r="98" spans="1:15" x14ac:dyDescent="0.3">
      <c r="A98" t="s">
        <v>203</v>
      </c>
      <c r="B98" t="s">
        <v>21</v>
      </c>
      <c r="C98" t="s">
        <v>203</v>
      </c>
      <c r="D98">
        <v>75</v>
      </c>
      <c r="E98">
        <v>57.33</v>
      </c>
      <c r="F98">
        <v>40.909999999999997</v>
      </c>
      <c r="G98">
        <f t="shared" si="6"/>
        <v>49.12</v>
      </c>
      <c r="H98">
        <v>12</v>
      </c>
      <c r="I98">
        <v>11</v>
      </c>
      <c r="J98">
        <v>8</v>
      </c>
      <c r="K98" s="11" t="str">
        <f t="shared" ref="K98:K101" si="7">IF(G98&gt;$V$1,"5",IF(G98&gt;$W$1,"4",IF(G98&gt;$X$1,"3",IF(G98&gt;$Y$1,"2",IF(G98&gt;$Z$1,"1",IF(G98&gt;$AA$1,"0"))))))</f>
        <v>3</v>
      </c>
      <c r="L98" s="11">
        <v>5</v>
      </c>
      <c r="O98" s="4">
        <f t="shared" si="5"/>
        <v>2</v>
      </c>
    </row>
    <row r="99" spans="1:15" x14ac:dyDescent="0.3">
      <c r="A99" t="s">
        <v>209</v>
      </c>
      <c r="B99" t="s">
        <v>210</v>
      </c>
      <c r="C99" t="s">
        <v>211</v>
      </c>
      <c r="D99">
        <v>58</v>
      </c>
      <c r="E99">
        <v>56.9</v>
      </c>
      <c r="F99">
        <v>42.11</v>
      </c>
      <c r="G99">
        <f t="shared" si="6"/>
        <v>49.504999999999995</v>
      </c>
      <c r="H99">
        <v>10</v>
      </c>
      <c r="I99">
        <v>8</v>
      </c>
      <c r="J99">
        <v>13</v>
      </c>
      <c r="K99" s="11" t="str">
        <f t="shared" si="7"/>
        <v>3</v>
      </c>
      <c r="L99" s="11">
        <v>5</v>
      </c>
      <c r="O99" s="4">
        <f t="shared" si="5"/>
        <v>2</v>
      </c>
    </row>
    <row r="100" spans="1:15" x14ac:dyDescent="0.3">
      <c r="A100" t="s">
        <v>204</v>
      </c>
      <c r="B100" t="s">
        <v>205</v>
      </c>
      <c r="C100" t="s">
        <v>204</v>
      </c>
      <c r="D100">
        <v>124</v>
      </c>
      <c r="E100">
        <v>57.26</v>
      </c>
      <c r="F100">
        <v>38.46</v>
      </c>
      <c r="G100">
        <f t="shared" si="6"/>
        <v>47.86</v>
      </c>
      <c r="H100">
        <v>8</v>
      </c>
      <c r="I100">
        <v>16</v>
      </c>
      <c r="J100">
        <v>10</v>
      </c>
      <c r="K100" s="11" t="str">
        <f t="shared" si="7"/>
        <v>3</v>
      </c>
      <c r="L100" s="11">
        <v>5</v>
      </c>
      <c r="O100" s="4">
        <f t="shared" si="5"/>
        <v>2</v>
      </c>
    </row>
    <row r="101" spans="1:15" x14ac:dyDescent="0.3">
      <c r="A101" t="s">
        <v>206</v>
      </c>
      <c r="B101" t="s">
        <v>207</v>
      </c>
      <c r="C101" t="s">
        <v>206</v>
      </c>
      <c r="D101">
        <v>332</v>
      </c>
      <c r="E101">
        <v>55.42</v>
      </c>
      <c r="F101">
        <v>38.32</v>
      </c>
      <c r="G101">
        <f t="shared" si="6"/>
        <v>46.870000000000005</v>
      </c>
      <c r="H101">
        <v>17</v>
      </c>
      <c r="I101">
        <v>16</v>
      </c>
      <c r="J101">
        <v>8</v>
      </c>
      <c r="K101" s="11" t="str">
        <f t="shared" si="7"/>
        <v>3</v>
      </c>
      <c r="L101" s="11">
        <v>5</v>
      </c>
      <c r="O101" s="4">
        <f t="shared" si="5"/>
        <v>2</v>
      </c>
    </row>
    <row r="102" spans="1:15" x14ac:dyDescent="0.3">
      <c r="K102" s="11"/>
      <c r="L102" s="11"/>
      <c r="O102" s="4"/>
    </row>
    <row r="103" spans="1:15" x14ac:dyDescent="0.3">
      <c r="K103" s="11"/>
      <c r="L103" s="11"/>
      <c r="O103" s="4"/>
    </row>
    <row r="104" spans="1:15" x14ac:dyDescent="0.3">
      <c r="K104" s="11"/>
      <c r="L104" s="11"/>
      <c r="O104" s="4"/>
    </row>
    <row r="105" spans="1:15" x14ac:dyDescent="0.3">
      <c r="K105" s="11"/>
      <c r="L105" s="11"/>
      <c r="O105" s="4"/>
    </row>
    <row r="106" spans="1:15" x14ac:dyDescent="0.3">
      <c r="K106" s="11"/>
      <c r="L106" s="11"/>
      <c r="O106" s="4"/>
    </row>
    <row r="107" spans="1:15" x14ac:dyDescent="0.3">
      <c r="K107" s="11"/>
      <c r="L107" s="11"/>
      <c r="O107" s="4"/>
    </row>
    <row r="108" spans="1:15" x14ac:dyDescent="0.3">
      <c r="K108" s="11"/>
      <c r="L108" s="11"/>
      <c r="O108" s="4"/>
    </row>
    <row r="109" spans="1:15" x14ac:dyDescent="0.3">
      <c r="K109" s="11"/>
      <c r="L109" s="11"/>
      <c r="O109" s="4"/>
    </row>
    <row r="110" spans="1:15" x14ac:dyDescent="0.3">
      <c r="K110" s="11"/>
      <c r="L110" s="11"/>
      <c r="O110" s="4"/>
    </row>
    <row r="111" spans="1:15" x14ac:dyDescent="0.3">
      <c r="K111" s="11"/>
      <c r="L111" s="11"/>
      <c r="O111" s="4"/>
    </row>
    <row r="112" spans="1:15" x14ac:dyDescent="0.3">
      <c r="K112" s="11"/>
      <c r="L112" s="11"/>
      <c r="O112" s="4"/>
    </row>
    <row r="113" spans="11:15" x14ac:dyDescent="0.3">
      <c r="K113" s="11"/>
      <c r="L113" s="11"/>
      <c r="O113" s="4"/>
    </row>
    <row r="114" spans="11:15" x14ac:dyDescent="0.3">
      <c r="K114" s="11"/>
      <c r="L114" s="11"/>
      <c r="O114" s="4"/>
    </row>
    <row r="115" spans="11:15" x14ac:dyDescent="0.3">
      <c r="K115" s="11"/>
      <c r="L115" s="11"/>
      <c r="O115" s="4"/>
    </row>
    <row r="116" spans="11:15" x14ac:dyDescent="0.3">
      <c r="K116" s="11"/>
      <c r="L116" s="11"/>
      <c r="O116" s="4"/>
    </row>
    <row r="117" spans="11:15" x14ac:dyDescent="0.3">
      <c r="K117" s="11"/>
      <c r="L117" s="11"/>
      <c r="O117" s="4"/>
    </row>
    <row r="118" spans="11:15" x14ac:dyDescent="0.3">
      <c r="K118" s="11"/>
      <c r="L118" s="11"/>
      <c r="O118" s="4"/>
    </row>
    <row r="119" spans="11:15" x14ac:dyDescent="0.3">
      <c r="K119" s="11"/>
      <c r="L119" s="11"/>
      <c r="O119" s="4"/>
    </row>
    <row r="120" spans="11:15" x14ac:dyDescent="0.3">
      <c r="K120" s="11"/>
      <c r="L120" s="11"/>
      <c r="O120" s="4"/>
    </row>
    <row r="121" spans="11:15" x14ac:dyDescent="0.3">
      <c r="K121" s="11"/>
      <c r="L121" s="11"/>
      <c r="O121" s="4"/>
    </row>
    <row r="122" spans="11:15" x14ac:dyDescent="0.3">
      <c r="K122" s="11"/>
      <c r="L122" s="11"/>
      <c r="O122" s="4"/>
    </row>
    <row r="123" spans="11:15" x14ac:dyDescent="0.3">
      <c r="K123" s="11"/>
      <c r="L123" s="11"/>
      <c r="O123" s="4"/>
    </row>
    <row r="124" spans="11:15" x14ac:dyDescent="0.3">
      <c r="K124" s="11"/>
      <c r="L124" s="11"/>
      <c r="O124" s="4"/>
    </row>
    <row r="125" spans="11:15" x14ac:dyDescent="0.3">
      <c r="K125" s="11"/>
      <c r="L125" s="11"/>
      <c r="O125" s="4"/>
    </row>
    <row r="126" spans="11:15" x14ac:dyDescent="0.3">
      <c r="K126" s="11"/>
      <c r="L126" s="11"/>
      <c r="O126" s="4"/>
    </row>
    <row r="127" spans="11:15" x14ac:dyDescent="0.3">
      <c r="K127" s="11"/>
      <c r="L127" s="11"/>
      <c r="O127" s="4"/>
    </row>
    <row r="128" spans="11:15" x14ac:dyDescent="0.3">
      <c r="K128" s="11"/>
      <c r="L128" s="11"/>
      <c r="O128" s="4"/>
    </row>
    <row r="129" spans="11:15" x14ac:dyDescent="0.3">
      <c r="K129" s="11"/>
      <c r="L129" s="11"/>
      <c r="O129" s="4"/>
    </row>
    <row r="130" spans="11:15" x14ac:dyDescent="0.3">
      <c r="K130" s="11"/>
      <c r="L130" s="11"/>
      <c r="O130" s="4"/>
    </row>
    <row r="131" spans="11:15" x14ac:dyDescent="0.3">
      <c r="K131" s="11"/>
      <c r="L131" s="11"/>
      <c r="O131" s="4"/>
    </row>
    <row r="132" spans="11:15" x14ac:dyDescent="0.3">
      <c r="K132" s="11"/>
      <c r="L132" s="11"/>
      <c r="O132" s="4"/>
    </row>
    <row r="133" spans="11:15" x14ac:dyDescent="0.3">
      <c r="K133" s="11"/>
      <c r="L133" s="11"/>
      <c r="O133" s="4"/>
    </row>
    <row r="134" spans="11:15" x14ac:dyDescent="0.3">
      <c r="K134" s="11"/>
      <c r="L134" s="11"/>
      <c r="O134" s="4"/>
    </row>
    <row r="135" spans="11:15" x14ac:dyDescent="0.3">
      <c r="K135" s="11"/>
      <c r="L135" s="11"/>
      <c r="O135" s="4"/>
    </row>
    <row r="136" spans="11:15" x14ac:dyDescent="0.3">
      <c r="K136" s="11"/>
      <c r="L136" s="11"/>
      <c r="O136" s="4"/>
    </row>
    <row r="137" spans="11:15" x14ac:dyDescent="0.3">
      <c r="K137" s="11"/>
      <c r="L137" s="11"/>
      <c r="O137" s="4"/>
    </row>
    <row r="138" spans="11:15" x14ac:dyDescent="0.3">
      <c r="K138" s="11"/>
      <c r="L138" s="11"/>
      <c r="O138" s="4"/>
    </row>
    <row r="139" spans="11:15" x14ac:dyDescent="0.3">
      <c r="K139" s="11"/>
      <c r="L139" s="11"/>
      <c r="O139" s="4"/>
    </row>
    <row r="140" spans="11:15" x14ac:dyDescent="0.3">
      <c r="K140" s="11"/>
      <c r="L140" s="11"/>
      <c r="O140" s="4"/>
    </row>
    <row r="141" spans="11:15" x14ac:dyDescent="0.3">
      <c r="K141" s="11"/>
      <c r="L141" s="11"/>
      <c r="O141" s="4"/>
    </row>
    <row r="142" spans="11:15" x14ac:dyDescent="0.3">
      <c r="K142" s="11"/>
      <c r="L142" s="11"/>
      <c r="O142" s="4"/>
    </row>
    <row r="143" spans="11:15" x14ac:dyDescent="0.3">
      <c r="K143" s="11"/>
      <c r="L143" s="11"/>
      <c r="O143" s="4"/>
    </row>
    <row r="144" spans="11:15" x14ac:dyDescent="0.3">
      <c r="K144" s="11"/>
      <c r="L144" s="11"/>
      <c r="O144" s="4"/>
    </row>
    <row r="145" spans="11:15" x14ac:dyDescent="0.3">
      <c r="K145" s="11"/>
      <c r="L145" s="11"/>
      <c r="O145" s="4"/>
    </row>
    <row r="146" spans="11:15" x14ac:dyDescent="0.3">
      <c r="K146" s="11"/>
      <c r="L146" s="11"/>
      <c r="M146" s="11"/>
      <c r="O146" s="4"/>
    </row>
    <row r="147" spans="11:15" x14ac:dyDescent="0.3">
      <c r="K147" s="11"/>
      <c r="L147" s="11"/>
      <c r="M147" s="11"/>
      <c r="O147" s="4"/>
    </row>
    <row r="148" spans="11:15" x14ac:dyDescent="0.3">
      <c r="K148" s="11"/>
      <c r="L148" s="11"/>
      <c r="M148" s="11"/>
      <c r="O148" s="4"/>
    </row>
    <row r="149" spans="11:15" x14ac:dyDescent="0.3">
      <c r="K149" s="11"/>
      <c r="L149" s="11"/>
      <c r="M149" s="11"/>
      <c r="O149" s="4"/>
    </row>
    <row r="150" spans="11:15" x14ac:dyDescent="0.3">
      <c r="K150" s="11"/>
      <c r="L150" s="11"/>
      <c r="O150" s="4"/>
    </row>
    <row r="151" spans="11:15" x14ac:dyDescent="0.3">
      <c r="K151" s="11"/>
      <c r="L151" s="11"/>
      <c r="O151" s="4"/>
    </row>
    <row r="152" spans="11:15" x14ac:dyDescent="0.3">
      <c r="K152" s="11"/>
      <c r="L152" s="11"/>
      <c r="O152" s="4"/>
    </row>
    <row r="153" spans="11:15" x14ac:dyDescent="0.3">
      <c r="K153" s="11"/>
      <c r="L153" s="11"/>
      <c r="O153" s="4"/>
    </row>
    <row r="154" spans="11:15" x14ac:dyDescent="0.3">
      <c r="K154" s="11"/>
      <c r="L154" s="11"/>
      <c r="O154" s="4"/>
    </row>
    <row r="155" spans="11:15" x14ac:dyDescent="0.3">
      <c r="K155" s="11"/>
      <c r="L155" s="11"/>
      <c r="O155" s="4"/>
    </row>
    <row r="156" spans="11:15" x14ac:dyDescent="0.3">
      <c r="K156" s="11"/>
      <c r="L156" s="11"/>
      <c r="O156" s="4"/>
    </row>
    <row r="157" spans="11:15" x14ac:dyDescent="0.3">
      <c r="K157" s="11"/>
      <c r="L157" s="11"/>
      <c r="O157" s="4"/>
    </row>
    <row r="158" spans="11:15" x14ac:dyDescent="0.3">
      <c r="K158" s="11"/>
      <c r="L158" s="11"/>
      <c r="O158" s="4"/>
    </row>
    <row r="159" spans="11:15" x14ac:dyDescent="0.3">
      <c r="K159" s="11"/>
      <c r="L159" s="11"/>
      <c r="O159" s="4"/>
    </row>
    <row r="160" spans="11:15" x14ac:dyDescent="0.3">
      <c r="K160" s="11"/>
      <c r="L160" s="11"/>
      <c r="O160" s="4"/>
    </row>
    <row r="161" spans="11:15" x14ac:dyDescent="0.3">
      <c r="K161" s="11"/>
      <c r="L161" s="11"/>
      <c r="O161" s="4"/>
    </row>
    <row r="162" spans="11:15" x14ac:dyDescent="0.3">
      <c r="K162" s="11"/>
      <c r="L162" s="11"/>
      <c r="M162" s="11"/>
      <c r="O162" s="4"/>
    </row>
    <row r="163" spans="11:15" x14ac:dyDescent="0.3">
      <c r="K163" s="11"/>
      <c r="L163" s="11"/>
      <c r="M163" s="11"/>
      <c r="O163" s="4"/>
    </row>
    <row r="164" spans="11:15" x14ac:dyDescent="0.3">
      <c r="K164" s="11"/>
      <c r="L164" s="11"/>
      <c r="M164" s="11"/>
      <c r="O164" s="4"/>
    </row>
    <row r="165" spans="11:15" x14ac:dyDescent="0.3">
      <c r="K165" s="11"/>
      <c r="L165" s="11"/>
      <c r="O165" s="4"/>
    </row>
    <row r="166" spans="11:15" x14ac:dyDescent="0.3">
      <c r="K166" s="11"/>
      <c r="L166" s="11"/>
      <c r="O166" s="4"/>
    </row>
    <row r="167" spans="11:15" x14ac:dyDescent="0.3">
      <c r="K167" s="11"/>
      <c r="L167" s="11"/>
      <c r="O167" s="4"/>
    </row>
    <row r="168" spans="11:15" x14ac:dyDescent="0.3">
      <c r="K168" s="11"/>
      <c r="L168" s="11"/>
      <c r="O168" s="4"/>
    </row>
    <row r="169" spans="11:15" x14ac:dyDescent="0.3">
      <c r="K169" s="11"/>
      <c r="L169" s="11"/>
      <c r="O169" s="4"/>
    </row>
    <row r="170" spans="11:15" x14ac:dyDescent="0.3">
      <c r="K170" s="11"/>
      <c r="L170" s="11"/>
      <c r="O170" s="4"/>
    </row>
    <row r="171" spans="11:15" x14ac:dyDescent="0.3">
      <c r="K171" s="11"/>
      <c r="L171" s="11"/>
      <c r="O171" s="4"/>
    </row>
    <row r="172" spans="11:15" x14ac:dyDescent="0.3">
      <c r="K172" s="11"/>
      <c r="L172" s="11"/>
      <c r="O172" s="4"/>
    </row>
    <row r="173" spans="11:15" x14ac:dyDescent="0.3">
      <c r="K173" s="11"/>
      <c r="L173" s="11"/>
      <c r="O173" s="4"/>
    </row>
    <row r="174" spans="11:15" x14ac:dyDescent="0.3">
      <c r="K174" s="11"/>
      <c r="L174" s="11"/>
      <c r="O174" s="4"/>
    </row>
    <row r="175" spans="11:15" x14ac:dyDescent="0.3">
      <c r="K175" s="11"/>
      <c r="L175" s="11"/>
      <c r="O175" s="4"/>
    </row>
    <row r="176" spans="11:15" x14ac:dyDescent="0.3">
      <c r="K176" s="11"/>
      <c r="L176" s="11"/>
      <c r="O176" s="4"/>
    </row>
    <row r="177" spans="11:15" x14ac:dyDescent="0.3">
      <c r="K177" s="11"/>
      <c r="L177" s="11"/>
      <c r="O177" s="4"/>
    </row>
    <row r="178" spans="11:15" x14ac:dyDescent="0.3">
      <c r="K178" s="11"/>
      <c r="L178" s="11"/>
      <c r="O178" s="4"/>
    </row>
    <row r="179" spans="11:15" x14ac:dyDescent="0.3">
      <c r="K179" s="11"/>
      <c r="L179" s="11"/>
      <c r="O179" s="4"/>
    </row>
    <row r="180" spans="11:15" x14ac:dyDescent="0.3">
      <c r="K180" s="11"/>
      <c r="L180" s="11"/>
      <c r="O180" s="4"/>
    </row>
    <row r="181" spans="11:15" x14ac:dyDescent="0.3">
      <c r="K181" s="11"/>
      <c r="L181" s="11"/>
      <c r="O181" s="4"/>
    </row>
    <row r="182" spans="11:15" x14ac:dyDescent="0.3">
      <c r="K182" s="11"/>
      <c r="L182" s="11"/>
      <c r="O182" s="4"/>
    </row>
    <row r="183" spans="11:15" x14ac:dyDescent="0.3">
      <c r="K183" s="11"/>
      <c r="L183" s="11"/>
      <c r="O183" s="4"/>
    </row>
    <row r="184" spans="11:15" x14ac:dyDescent="0.3">
      <c r="K184" s="11"/>
      <c r="L184" s="11"/>
      <c r="O184" s="4"/>
    </row>
    <row r="185" spans="11:15" x14ac:dyDescent="0.3">
      <c r="K185" s="11"/>
      <c r="L185" s="11"/>
      <c r="O185" s="4"/>
    </row>
    <row r="186" spans="11:15" x14ac:dyDescent="0.3">
      <c r="K186" s="11"/>
      <c r="L186" s="11"/>
      <c r="O186" s="4"/>
    </row>
    <row r="187" spans="11:15" x14ac:dyDescent="0.3">
      <c r="K187" s="11"/>
      <c r="L187" s="11"/>
      <c r="O187" s="4"/>
    </row>
    <row r="188" spans="11:15" x14ac:dyDescent="0.3">
      <c r="K188" s="11"/>
      <c r="L188" s="11"/>
      <c r="O188" s="4"/>
    </row>
    <row r="189" spans="11:15" x14ac:dyDescent="0.3">
      <c r="K189" s="11"/>
      <c r="L189" s="11"/>
      <c r="O189" s="4"/>
    </row>
    <row r="190" spans="11:15" x14ac:dyDescent="0.3">
      <c r="K190" s="11"/>
      <c r="L190" s="11"/>
      <c r="O190" s="4"/>
    </row>
    <row r="191" spans="11:15" x14ac:dyDescent="0.3">
      <c r="K191" s="11"/>
      <c r="L191" s="11"/>
      <c r="O191" s="4"/>
    </row>
    <row r="192" spans="11:15" x14ac:dyDescent="0.3">
      <c r="K192" s="11"/>
      <c r="L192" s="11"/>
      <c r="O192" s="4"/>
    </row>
    <row r="193" spans="11:15" x14ac:dyDescent="0.3">
      <c r="K193" s="11"/>
      <c r="L193" s="11"/>
      <c r="O193" s="4"/>
    </row>
    <row r="194" spans="11:15" x14ac:dyDescent="0.3">
      <c r="K194" s="11"/>
      <c r="L194" s="11"/>
      <c r="M194" s="11"/>
      <c r="O194" s="4"/>
    </row>
    <row r="195" spans="11:15" x14ac:dyDescent="0.3">
      <c r="K195" s="11"/>
      <c r="L195" s="11"/>
      <c r="O195" s="4"/>
    </row>
    <row r="196" spans="11:15" x14ac:dyDescent="0.3">
      <c r="K196" s="11"/>
      <c r="L196" s="11"/>
      <c r="O196" s="4"/>
    </row>
    <row r="197" spans="11:15" x14ac:dyDescent="0.3">
      <c r="K197" s="11"/>
      <c r="L197" s="11"/>
      <c r="O197" s="4"/>
    </row>
    <row r="198" spans="11:15" x14ac:dyDescent="0.3">
      <c r="K198" s="11"/>
      <c r="L198" s="11"/>
      <c r="O198" s="4"/>
    </row>
    <row r="199" spans="11:15" x14ac:dyDescent="0.3">
      <c r="K199" s="11"/>
      <c r="L199" s="11"/>
      <c r="O199" s="4"/>
    </row>
    <row r="200" spans="11:15" x14ac:dyDescent="0.3">
      <c r="K200" s="11"/>
      <c r="L200" s="11"/>
      <c r="O200" s="4"/>
    </row>
    <row r="201" spans="11:15" x14ac:dyDescent="0.3">
      <c r="K201" s="11"/>
      <c r="L201" s="11"/>
      <c r="O201" s="4"/>
    </row>
  </sheetData>
  <autoFilter ref="A1:O1" xr:uid="{15D91737-F968-4E4F-A01E-337200C1E7C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1737-F968-4E4F-A01E-337200C1E7C8}">
  <dimension ref="A1:AE201"/>
  <sheetViews>
    <sheetView tabSelected="1" topLeftCell="A77" zoomScale="127" zoomScaleNormal="127" workbookViewId="0">
      <pane xSplit="1" topLeftCell="B1" activePane="topRight" state="frozen"/>
      <selection pane="topRight" activeCell="B79" sqref="B79"/>
    </sheetView>
  </sheetViews>
  <sheetFormatPr defaultColWidth="10.796875" defaultRowHeight="15.6" x14ac:dyDescent="0.3"/>
  <cols>
    <col min="1" max="1" width="75.5" bestFit="1" customWidth="1"/>
    <col min="3" max="5" width="10.796875" customWidth="1"/>
    <col min="6" max="6" width="18.19921875" customWidth="1"/>
    <col min="7" max="10" width="20.296875" customWidth="1"/>
    <col min="11" max="11" width="26.19921875" bestFit="1" customWidth="1"/>
    <col min="12" max="12" width="25.69921875" customWidth="1"/>
    <col min="13" max="13" width="10.796875" hidden="1" customWidth="1"/>
    <col min="14" max="14" width="9.69921875" hidden="1" customWidth="1"/>
    <col min="15" max="15" width="10.796875" customWidth="1"/>
    <col min="16" max="16" width="11.796875" bestFit="1" customWidth="1"/>
    <col min="18" max="19" width="11.59765625" bestFit="1" customWidth="1"/>
  </cols>
  <sheetData>
    <row r="1" spans="1:31" s="5" customFormat="1" ht="31.2" x14ac:dyDescent="0.3">
      <c r="A1" t="s">
        <v>0</v>
      </c>
      <c r="B1" t="s">
        <v>1</v>
      </c>
      <c r="C1" t="s">
        <v>100</v>
      </c>
      <c r="D1" t="s">
        <v>101</v>
      </c>
      <c r="E1" t="s">
        <v>102</v>
      </c>
      <c r="F1" t="s">
        <v>103</v>
      </c>
      <c r="G1" s="8" t="s">
        <v>79</v>
      </c>
      <c r="H1" t="s">
        <v>212</v>
      </c>
      <c r="I1" t="s">
        <v>213</v>
      </c>
      <c r="J1" t="s">
        <v>214</v>
      </c>
      <c r="K1" s="6" t="s">
        <v>81</v>
      </c>
      <c r="L1" s="9" t="s">
        <v>78</v>
      </c>
      <c r="M1" s="5" t="s">
        <v>2</v>
      </c>
      <c r="N1" s="5" t="s">
        <v>80</v>
      </c>
      <c r="O1" s="5" t="s">
        <v>208</v>
      </c>
      <c r="Q1" s="1">
        <v>1.2</v>
      </c>
      <c r="R1" s="2">
        <f>0.5</f>
        <v>0.5</v>
      </c>
      <c r="S1" s="2">
        <f>1-R1</f>
        <v>0.5</v>
      </c>
      <c r="T1" s="3">
        <f>R1+S1</f>
        <v>1</v>
      </c>
      <c r="V1" s="2">
        <v>80</v>
      </c>
      <c r="W1" s="2">
        <v>60</v>
      </c>
      <c r="X1" s="2">
        <v>40</v>
      </c>
      <c r="Y1" s="2">
        <v>20</v>
      </c>
      <c r="Z1" s="2">
        <v>0</v>
      </c>
      <c r="AA1" s="2">
        <v>0</v>
      </c>
      <c r="AB1" s="5" t="s">
        <v>82</v>
      </c>
      <c r="AC1" s="7">
        <f>COUNTIF(O2:O100,"&lt;2")/COUNT(O2:O100)</f>
        <v>0.35353535353535354</v>
      </c>
      <c r="AD1" s="10"/>
      <c r="AE1" s="7"/>
    </row>
    <row r="2" spans="1:31" x14ac:dyDescent="0.3">
      <c r="A2" t="s">
        <v>104</v>
      </c>
      <c r="B2" t="s">
        <v>3</v>
      </c>
      <c r="C2" t="s">
        <v>215</v>
      </c>
      <c r="D2">
        <v>552</v>
      </c>
      <c r="E2">
        <v>63.41</v>
      </c>
      <c r="F2">
        <v>43.72</v>
      </c>
      <c r="G2">
        <f>$R$1*E2+$S$1*F2</f>
        <v>53.564999999999998</v>
      </c>
      <c r="H2">
        <v>17</v>
      </c>
      <c r="I2">
        <v>8</v>
      </c>
      <c r="J2">
        <v>9</v>
      </c>
      <c r="K2" s="11" t="str">
        <f>IF(G2&gt;$V$1,"5",IF(G2&gt;$W$1,"4",IF(G2&gt;$X$1,"3",IF(G2&gt;$Y$1,"2",IF(G2&gt;$Z$1,"1",IF(G2&gt;$AA$1,"0"))))))</f>
        <v>3</v>
      </c>
      <c r="L2" s="11">
        <v>5</v>
      </c>
      <c r="O2" s="4">
        <f t="shared" ref="O2:O33" si="0">ABS(K2-L2)</f>
        <v>2</v>
      </c>
      <c r="P2" s="4"/>
    </row>
    <row r="3" spans="1:31" x14ac:dyDescent="0.3">
      <c r="A3" t="s">
        <v>4</v>
      </c>
      <c r="B3" t="s">
        <v>105</v>
      </c>
      <c r="C3" t="s">
        <v>4</v>
      </c>
      <c r="D3">
        <v>514</v>
      </c>
      <c r="E3">
        <v>52.72</v>
      </c>
      <c r="F3">
        <v>42</v>
      </c>
      <c r="G3">
        <f t="shared" ref="G3:G66" si="1">$R$1*E3+$S$1*F3</f>
        <v>47.36</v>
      </c>
      <c r="H3">
        <v>8</v>
      </c>
      <c r="I3">
        <v>9</v>
      </c>
      <c r="J3">
        <v>10</v>
      </c>
      <c r="K3" s="11" t="str">
        <f t="shared" ref="K3:K66" si="2">IF(G3&gt;$V$1,"5",IF(G3&gt;$W$1,"4",IF(G3&gt;$X$1,"3",IF(G3&gt;$Y$1,"2",IF(G3&gt;$Z$1,"1",IF(G3&gt;$AA$1,"0"))))))</f>
        <v>3</v>
      </c>
      <c r="L3" s="11">
        <v>5</v>
      </c>
      <c r="O3" s="4">
        <f t="shared" si="0"/>
        <v>2</v>
      </c>
      <c r="P3" s="4"/>
    </row>
    <row r="4" spans="1:31" x14ac:dyDescent="0.3">
      <c r="A4" t="s">
        <v>5</v>
      </c>
      <c r="B4" t="s">
        <v>6</v>
      </c>
      <c r="C4" t="s">
        <v>216</v>
      </c>
      <c r="D4">
        <v>160</v>
      </c>
      <c r="E4">
        <v>64.38</v>
      </c>
      <c r="F4">
        <v>60</v>
      </c>
      <c r="G4">
        <f t="shared" si="1"/>
        <v>62.19</v>
      </c>
      <c r="H4">
        <v>13</v>
      </c>
      <c r="I4">
        <v>15</v>
      </c>
      <c r="J4">
        <v>12</v>
      </c>
      <c r="K4" s="11" t="str">
        <f t="shared" si="2"/>
        <v>4</v>
      </c>
      <c r="L4" s="11">
        <v>5</v>
      </c>
      <c r="O4" s="4">
        <f t="shared" si="0"/>
        <v>1</v>
      </c>
      <c r="P4" s="4"/>
    </row>
    <row r="5" spans="1:31" x14ac:dyDescent="0.3">
      <c r="A5" t="s">
        <v>7</v>
      </c>
      <c r="B5" t="s">
        <v>8</v>
      </c>
      <c r="C5" t="s">
        <v>7</v>
      </c>
      <c r="D5">
        <v>295</v>
      </c>
      <c r="E5">
        <v>61.36</v>
      </c>
      <c r="F5">
        <v>39.130000000000003</v>
      </c>
      <c r="G5">
        <f t="shared" si="1"/>
        <v>50.245000000000005</v>
      </c>
      <c r="H5">
        <v>8</v>
      </c>
      <c r="I5">
        <v>9</v>
      </c>
      <c r="J5">
        <v>13</v>
      </c>
      <c r="K5" s="11" t="str">
        <f t="shared" si="2"/>
        <v>3</v>
      </c>
      <c r="L5" s="11">
        <v>5</v>
      </c>
      <c r="O5" s="4">
        <f t="shared" si="0"/>
        <v>2</v>
      </c>
      <c r="P5" s="4"/>
    </row>
    <row r="6" spans="1:31" x14ac:dyDescent="0.3">
      <c r="A6" t="s">
        <v>106</v>
      </c>
      <c r="B6" t="s">
        <v>107</v>
      </c>
      <c r="C6" t="s">
        <v>217</v>
      </c>
      <c r="D6">
        <v>34</v>
      </c>
      <c r="E6">
        <v>58.82</v>
      </c>
      <c r="F6">
        <v>41.67</v>
      </c>
      <c r="G6">
        <f t="shared" si="1"/>
        <v>50.245000000000005</v>
      </c>
      <c r="H6">
        <v>13</v>
      </c>
      <c r="I6">
        <v>12</v>
      </c>
      <c r="J6">
        <v>2</v>
      </c>
      <c r="K6" s="11" t="str">
        <f t="shared" si="2"/>
        <v>3</v>
      </c>
      <c r="L6" s="11">
        <v>5</v>
      </c>
      <c r="M6" s="11"/>
      <c r="O6" s="4">
        <f t="shared" si="0"/>
        <v>2</v>
      </c>
      <c r="P6" s="4"/>
    </row>
    <row r="7" spans="1:31" x14ac:dyDescent="0.3">
      <c r="A7" t="s">
        <v>97</v>
      </c>
      <c r="B7" t="s">
        <v>108</v>
      </c>
      <c r="C7" t="s">
        <v>97</v>
      </c>
      <c r="D7">
        <v>302</v>
      </c>
      <c r="E7">
        <v>40.07</v>
      </c>
      <c r="F7">
        <v>47.14</v>
      </c>
      <c r="G7">
        <f t="shared" si="1"/>
        <v>43.605000000000004</v>
      </c>
      <c r="H7">
        <v>8</v>
      </c>
      <c r="I7">
        <v>9</v>
      </c>
      <c r="J7">
        <v>16</v>
      </c>
      <c r="K7" s="11" t="str">
        <f t="shared" si="2"/>
        <v>3</v>
      </c>
      <c r="L7" s="11">
        <v>5</v>
      </c>
      <c r="M7" s="11"/>
      <c r="O7" s="4">
        <f t="shared" si="0"/>
        <v>2</v>
      </c>
      <c r="P7" s="4"/>
    </row>
    <row r="8" spans="1:31" x14ac:dyDescent="0.3">
      <c r="A8" t="s">
        <v>9</v>
      </c>
      <c r="B8" t="s">
        <v>109</v>
      </c>
      <c r="C8" t="s">
        <v>9</v>
      </c>
      <c r="D8">
        <v>1420</v>
      </c>
      <c r="E8">
        <v>63.87</v>
      </c>
      <c r="F8">
        <v>50.26</v>
      </c>
      <c r="G8">
        <f t="shared" si="1"/>
        <v>57.064999999999998</v>
      </c>
      <c r="H8">
        <v>16</v>
      </c>
      <c r="I8">
        <v>8</v>
      </c>
      <c r="J8">
        <v>10</v>
      </c>
      <c r="K8" s="11" t="str">
        <f t="shared" si="2"/>
        <v>3</v>
      </c>
      <c r="L8" s="11">
        <v>5</v>
      </c>
      <c r="M8" s="11"/>
      <c r="O8" s="4">
        <f t="shared" si="0"/>
        <v>2</v>
      </c>
      <c r="P8" s="4"/>
    </row>
    <row r="9" spans="1:31" x14ac:dyDescent="0.3">
      <c r="A9" t="s">
        <v>110</v>
      </c>
      <c r="B9" t="s">
        <v>111</v>
      </c>
      <c r="C9" t="s">
        <v>218</v>
      </c>
      <c r="D9">
        <v>291</v>
      </c>
      <c r="E9">
        <v>82.47</v>
      </c>
      <c r="F9">
        <v>85.15</v>
      </c>
      <c r="G9">
        <f t="shared" si="1"/>
        <v>83.81</v>
      </c>
      <c r="H9">
        <v>5</v>
      </c>
      <c r="I9">
        <v>8</v>
      </c>
      <c r="J9">
        <v>10</v>
      </c>
      <c r="K9" s="11" t="str">
        <f t="shared" si="2"/>
        <v>5</v>
      </c>
      <c r="L9" s="11">
        <v>5</v>
      </c>
      <c r="O9" s="4">
        <f t="shared" si="0"/>
        <v>0</v>
      </c>
      <c r="P9" s="4"/>
    </row>
    <row r="10" spans="1:31" x14ac:dyDescent="0.3">
      <c r="A10" t="s">
        <v>112</v>
      </c>
      <c r="B10" t="s">
        <v>113</v>
      </c>
      <c r="C10" t="s">
        <v>112</v>
      </c>
      <c r="D10">
        <v>371</v>
      </c>
      <c r="E10">
        <v>52.02</v>
      </c>
      <c r="F10">
        <v>46.75</v>
      </c>
      <c r="G10">
        <f t="shared" si="1"/>
        <v>49.385000000000005</v>
      </c>
      <c r="H10">
        <v>8</v>
      </c>
      <c r="I10">
        <v>12</v>
      </c>
      <c r="J10">
        <v>7</v>
      </c>
      <c r="K10" s="11" t="str">
        <f t="shared" si="2"/>
        <v>3</v>
      </c>
      <c r="L10" s="11">
        <v>5</v>
      </c>
      <c r="O10" s="4">
        <f t="shared" si="0"/>
        <v>2</v>
      </c>
      <c r="P10" s="4"/>
    </row>
    <row r="11" spans="1:31" x14ac:dyDescent="0.3">
      <c r="A11" t="s">
        <v>114</v>
      </c>
      <c r="B11" t="s">
        <v>115</v>
      </c>
      <c r="C11" t="s">
        <v>114</v>
      </c>
      <c r="D11">
        <v>4865</v>
      </c>
      <c r="E11">
        <v>67.5</v>
      </c>
      <c r="F11">
        <v>38.25</v>
      </c>
      <c r="G11">
        <f t="shared" si="1"/>
        <v>52.875</v>
      </c>
      <c r="H11">
        <v>2</v>
      </c>
      <c r="I11">
        <v>13</v>
      </c>
      <c r="J11">
        <v>11</v>
      </c>
      <c r="K11" s="11" t="str">
        <f t="shared" si="2"/>
        <v>3</v>
      </c>
      <c r="L11" s="11">
        <v>5</v>
      </c>
      <c r="O11" s="4">
        <f t="shared" si="0"/>
        <v>2</v>
      </c>
      <c r="P11" s="4"/>
    </row>
    <row r="12" spans="1:31" x14ac:dyDescent="0.3">
      <c r="A12" t="s">
        <v>10</v>
      </c>
      <c r="B12" t="s">
        <v>11</v>
      </c>
      <c r="C12" t="s">
        <v>10</v>
      </c>
      <c r="D12">
        <v>380</v>
      </c>
      <c r="E12">
        <v>70.53</v>
      </c>
      <c r="F12">
        <v>41.71</v>
      </c>
      <c r="G12">
        <f t="shared" si="1"/>
        <v>56.120000000000005</v>
      </c>
      <c r="H12">
        <v>17</v>
      </c>
      <c r="I12">
        <v>3</v>
      </c>
      <c r="J12">
        <v>1</v>
      </c>
      <c r="K12" s="11" t="str">
        <f t="shared" si="2"/>
        <v>3</v>
      </c>
      <c r="L12" s="11">
        <v>5</v>
      </c>
      <c r="O12" s="4">
        <f t="shared" si="0"/>
        <v>2</v>
      </c>
      <c r="P12" s="4"/>
    </row>
    <row r="13" spans="1:31" x14ac:dyDescent="0.3">
      <c r="A13" t="s">
        <v>12</v>
      </c>
      <c r="B13" t="s">
        <v>116</v>
      </c>
      <c r="C13" t="s">
        <v>12</v>
      </c>
      <c r="D13">
        <v>335</v>
      </c>
      <c r="E13">
        <v>67.760000000000005</v>
      </c>
      <c r="F13">
        <v>62.35</v>
      </c>
      <c r="G13">
        <f t="shared" si="1"/>
        <v>65.055000000000007</v>
      </c>
      <c r="H13">
        <v>9</v>
      </c>
      <c r="I13">
        <v>11</v>
      </c>
      <c r="J13">
        <v>7</v>
      </c>
      <c r="K13" s="11" t="str">
        <f t="shared" si="2"/>
        <v>4</v>
      </c>
      <c r="L13" s="11">
        <v>5</v>
      </c>
      <c r="O13" s="4">
        <f t="shared" si="0"/>
        <v>1</v>
      </c>
      <c r="P13" s="4"/>
    </row>
    <row r="14" spans="1:31" x14ac:dyDescent="0.3">
      <c r="A14" t="s">
        <v>117</v>
      </c>
      <c r="B14" t="s">
        <v>118</v>
      </c>
      <c r="C14" t="s">
        <v>219</v>
      </c>
      <c r="D14">
        <v>320</v>
      </c>
      <c r="E14">
        <v>67.5</v>
      </c>
      <c r="F14">
        <v>37.86</v>
      </c>
      <c r="G14">
        <f t="shared" si="1"/>
        <v>52.68</v>
      </c>
      <c r="H14">
        <v>11</v>
      </c>
      <c r="I14">
        <v>15</v>
      </c>
      <c r="J14">
        <v>2</v>
      </c>
      <c r="K14" s="11" t="str">
        <f t="shared" si="2"/>
        <v>3</v>
      </c>
      <c r="L14" s="11">
        <v>5</v>
      </c>
      <c r="O14" s="4">
        <f t="shared" si="0"/>
        <v>2</v>
      </c>
      <c r="P14" s="4"/>
    </row>
    <row r="15" spans="1:31" x14ac:dyDescent="0.3">
      <c r="A15" t="s">
        <v>119</v>
      </c>
      <c r="B15" t="s">
        <v>120</v>
      </c>
      <c r="C15" t="s">
        <v>220</v>
      </c>
      <c r="D15">
        <v>46</v>
      </c>
      <c r="E15">
        <v>45.65</v>
      </c>
      <c r="F15">
        <v>53.85</v>
      </c>
      <c r="G15">
        <f t="shared" si="1"/>
        <v>49.75</v>
      </c>
      <c r="H15">
        <v>12</v>
      </c>
      <c r="I15">
        <v>13</v>
      </c>
      <c r="J15">
        <v>15</v>
      </c>
      <c r="K15" s="11" t="str">
        <f t="shared" si="2"/>
        <v>3</v>
      </c>
      <c r="L15" s="11">
        <v>5</v>
      </c>
      <c r="O15" s="4">
        <f t="shared" si="0"/>
        <v>2</v>
      </c>
      <c r="P15" s="4"/>
    </row>
    <row r="16" spans="1:31" x14ac:dyDescent="0.3">
      <c r="A16" t="s">
        <v>121</v>
      </c>
      <c r="B16" t="s">
        <v>122</v>
      </c>
      <c r="C16" t="s">
        <v>221</v>
      </c>
      <c r="D16">
        <v>244</v>
      </c>
      <c r="E16">
        <v>70.08</v>
      </c>
      <c r="F16">
        <v>40</v>
      </c>
      <c r="G16">
        <f t="shared" si="1"/>
        <v>55.04</v>
      </c>
      <c r="H16">
        <v>7</v>
      </c>
      <c r="I16">
        <v>11</v>
      </c>
      <c r="J16">
        <v>9</v>
      </c>
      <c r="K16" s="11" t="str">
        <f t="shared" si="2"/>
        <v>3</v>
      </c>
      <c r="L16" s="11">
        <v>5</v>
      </c>
      <c r="O16" s="4">
        <f t="shared" si="0"/>
        <v>2</v>
      </c>
      <c r="P16" s="4"/>
    </row>
    <row r="17" spans="1:16" x14ac:dyDescent="0.3">
      <c r="A17" t="s">
        <v>123</v>
      </c>
      <c r="B17" t="s">
        <v>124</v>
      </c>
      <c r="C17" t="s">
        <v>123</v>
      </c>
      <c r="D17">
        <v>277</v>
      </c>
      <c r="E17">
        <v>76.17</v>
      </c>
      <c r="F17">
        <v>72.53</v>
      </c>
      <c r="G17">
        <f t="shared" si="1"/>
        <v>74.349999999999994</v>
      </c>
      <c r="H17">
        <v>2</v>
      </c>
      <c r="I17">
        <v>12</v>
      </c>
      <c r="J17">
        <v>15</v>
      </c>
      <c r="K17" s="11" t="str">
        <f t="shared" si="2"/>
        <v>4</v>
      </c>
      <c r="L17" s="11">
        <v>5</v>
      </c>
      <c r="M17" s="11"/>
      <c r="O17" s="4">
        <f t="shared" si="0"/>
        <v>1</v>
      </c>
      <c r="P17" s="4"/>
    </row>
    <row r="18" spans="1:16" x14ac:dyDescent="0.3">
      <c r="A18" t="s">
        <v>125</v>
      </c>
      <c r="B18" t="s">
        <v>126</v>
      </c>
      <c r="C18" t="s">
        <v>125</v>
      </c>
      <c r="D18">
        <v>248</v>
      </c>
      <c r="E18">
        <v>67.739999999999995</v>
      </c>
      <c r="F18">
        <v>70.45</v>
      </c>
      <c r="G18">
        <f t="shared" si="1"/>
        <v>69.094999999999999</v>
      </c>
      <c r="H18">
        <v>6</v>
      </c>
      <c r="I18">
        <v>2</v>
      </c>
      <c r="J18">
        <v>13</v>
      </c>
      <c r="K18" s="11" t="str">
        <f t="shared" si="2"/>
        <v>4</v>
      </c>
      <c r="L18" s="11">
        <v>5</v>
      </c>
      <c r="O18" s="4">
        <f t="shared" si="0"/>
        <v>1</v>
      </c>
      <c r="P18" s="4"/>
    </row>
    <row r="19" spans="1:16" x14ac:dyDescent="0.3">
      <c r="A19" t="s">
        <v>13</v>
      </c>
      <c r="B19" t="s">
        <v>127</v>
      </c>
      <c r="C19" t="s">
        <v>13</v>
      </c>
      <c r="D19">
        <v>265</v>
      </c>
      <c r="E19">
        <v>82.26</v>
      </c>
      <c r="F19">
        <v>87.57</v>
      </c>
      <c r="G19">
        <f t="shared" si="1"/>
        <v>84.914999999999992</v>
      </c>
      <c r="H19">
        <v>2</v>
      </c>
      <c r="I19">
        <v>12</v>
      </c>
      <c r="J19">
        <v>13</v>
      </c>
      <c r="K19" s="11" t="str">
        <f t="shared" si="2"/>
        <v>5</v>
      </c>
      <c r="L19" s="11">
        <v>5</v>
      </c>
      <c r="O19" s="4">
        <f t="shared" si="0"/>
        <v>0</v>
      </c>
      <c r="P19" s="4"/>
    </row>
    <row r="20" spans="1:16" x14ac:dyDescent="0.3">
      <c r="A20" t="s">
        <v>128</v>
      </c>
      <c r="B20" t="s">
        <v>129</v>
      </c>
      <c r="C20" t="s">
        <v>128</v>
      </c>
      <c r="D20">
        <v>364</v>
      </c>
      <c r="E20">
        <v>70.88</v>
      </c>
      <c r="F20">
        <v>44.97</v>
      </c>
      <c r="G20">
        <f t="shared" si="1"/>
        <v>57.924999999999997</v>
      </c>
      <c r="H20">
        <v>13</v>
      </c>
      <c r="I20">
        <v>15</v>
      </c>
      <c r="J20">
        <v>2</v>
      </c>
      <c r="K20" s="11" t="str">
        <f t="shared" si="2"/>
        <v>3</v>
      </c>
      <c r="L20" s="11">
        <v>5</v>
      </c>
      <c r="O20" s="4">
        <f t="shared" si="0"/>
        <v>2</v>
      </c>
      <c r="P20" s="4"/>
    </row>
    <row r="21" spans="1:16" x14ac:dyDescent="0.3">
      <c r="A21" t="s">
        <v>130</v>
      </c>
      <c r="B21" t="s">
        <v>131</v>
      </c>
      <c r="C21" t="s">
        <v>130</v>
      </c>
      <c r="D21">
        <v>788</v>
      </c>
      <c r="E21">
        <v>61.29</v>
      </c>
      <c r="F21">
        <v>35.880000000000003</v>
      </c>
      <c r="G21">
        <f t="shared" si="1"/>
        <v>48.585000000000001</v>
      </c>
      <c r="H21">
        <v>2</v>
      </c>
      <c r="I21">
        <v>15</v>
      </c>
      <c r="J21">
        <v>12</v>
      </c>
      <c r="K21" s="11" t="str">
        <f t="shared" si="2"/>
        <v>3</v>
      </c>
      <c r="L21" s="11">
        <v>5</v>
      </c>
      <c r="O21" s="4">
        <f t="shared" si="0"/>
        <v>2</v>
      </c>
      <c r="P21" s="4"/>
    </row>
    <row r="22" spans="1:16" x14ac:dyDescent="0.3">
      <c r="A22" t="s">
        <v>132</v>
      </c>
      <c r="B22" t="s">
        <v>133</v>
      </c>
      <c r="C22" t="s">
        <v>132</v>
      </c>
      <c r="D22">
        <v>284</v>
      </c>
      <c r="E22">
        <v>88.73</v>
      </c>
      <c r="F22">
        <v>88.93</v>
      </c>
      <c r="G22">
        <f t="shared" si="1"/>
        <v>88.830000000000013</v>
      </c>
      <c r="H22">
        <v>2</v>
      </c>
      <c r="I22">
        <v>1</v>
      </c>
      <c r="J22">
        <v>4</v>
      </c>
      <c r="K22" s="11" t="str">
        <f t="shared" si="2"/>
        <v>5</v>
      </c>
      <c r="L22" s="11">
        <v>5</v>
      </c>
      <c r="O22" s="4">
        <f t="shared" si="0"/>
        <v>0</v>
      </c>
      <c r="P22" s="4"/>
    </row>
    <row r="23" spans="1:16" x14ac:dyDescent="0.3">
      <c r="A23" t="s">
        <v>134</v>
      </c>
      <c r="B23" t="s">
        <v>135</v>
      </c>
      <c r="C23" t="s">
        <v>134</v>
      </c>
      <c r="D23">
        <v>1167</v>
      </c>
      <c r="E23">
        <v>53.73</v>
      </c>
      <c r="F23">
        <v>47.39</v>
      </c>
      <c r="G23">
        <f t="shared" si="1"/>
        <v>50.56</v>
      </c>
      <c r="H23">
        <v>9</v>
      </c>
      <c r="I23">
        <v>12</v>
      </c>
      <c r="J23">
        <v>2</v>
      </c>
      <c r="K23" s="11" t="str">
        <f t="shared" si="2"/>
        <v>3</v>
      </c>
      <c r="L23" s="11">
        <v>5</v>
      </c>
      <c r="O23" s="4">
        <f t="shared" si="0"/>
        <v>2</v>
      </c>
      <c r="P23" s="4"/>
    </row>
    <row r="24" spans="1:16" x14ac:dyDescent="0.3">
      <c r="A24" t="s">
        <v>14</v>
      </c>
      <c r="B24" t="s">
        <v>136</v>
      </c>
      <c r="C24" t="s">
        <v>14</v>
      </c>
      <c r="D24">
        <v>604</v>
      </c>
      <c r="E24">
        <v>73.010000000000005</v>
      </c>
      <c r="F24">
        <v>79.66</v>
      </c>
      <c r="G24">
        <f t="shared" si="1"/>
        <v>76.335000000000008</v>
      </c>
      <c r="H24">
        <v>2</v>
      </c>
      <c r="I24">
        <v>1</v>
      </c>
      <c r="J24">
        <v>17</v>
      </c>
      <c r="K24" s="11" t="str">
        <f t="shared" si="2"/>
        <v>4</v>
      </c>
      <c r="L24" s="11">
        <v>4</v>
      </c>
      <c r="O24" s="4">
        <f t="shared" si="0"/>
        <v>0</v>
      </c>
      <c r="P24" s="4"/>
    </row>
    <row r="25" spans="1:16" x14ac:dyDescent="0.3">
      <c r="A25" t="s">
        <v>137</v>
      </c>
      <c r="B25" t="s">
        <v>138</v>
      </c>
      <c r="C25" t="s">
        <v>222</v>
      </c>
      <c r="D25">
        <v>1426</v>
      </c>
      <c r="E25">
        <v>74.680000000000007</v>
      </c>
      <c r="F25">
        <v>53.22</v>
      </c>
      <c r="G25">
        <f t="shared" si="1"/>
        <v>63.95</v>
      </c>
      <c r="H25">
        <v>6</v>
      </c>
      <c r="I25">
        <v>13</v>
      </c>
      <c r="J25">
        <v>15</v>
      </c>
      <c r="K25" s="11" t="str">
        <f t="shared" si="2"/>
        <v>4</v>
      </c>
      <c r="L25" s="11">
        <v>5</v>
      </c>
      <c r="M25" s="11"/>
      <c r="O25" s="4">
        <f t="shared" si="0"/>
        <v>1</v>
      </c>
      <c r="P25" s="4"/>
    </row>
    <row r="26" spans="1:16" x14ac:dyDescent="0.3">
      <c r="A26" t="s">
        <v>139</v>
      </c>
      <c r="B26" t="s">
        <v>140</v>
      </c>
      <c r="C26" t="s">
        <v>139</v>
      </c>
      <c r="D26">
        <v>33</v>
      </c>
      <c r="E26">
        <v>57.58</v>
      </c>
      <c r="F26">
        <v>89.47</v>
      </c>
      <c r="G26">
        <f t="shared" si="1"/>
        <v>73.525000000000006</v>
      </c>
      <c r="H26">
        <v>7</v>
      </c>
      <c r="I26">
        <v>12</v>
      </c>
      <c r="J26">
        <v>13</v>
      </c>
      <c r="K26" s="11" t="str">
        <f t="shared" si="2"/>
        <v>4</v>
      </c>
      <c r="L26" s="11">
        <v>5</v>
      </c>
      <c r="M26" s="11"/>
      <c r="O26" s="4">
        <f t="shared" si="0"/>
        <v>1</v>
      </c>
      <c r="P26" s="4"/>
    </row>
    <row r="27" spans="1:16" x14ac:dyDescent="0.3">
      <c r="A27" t="s">
        <v>141</v>
      </c>
      <c r="B27" t="s">
        <v>142</v>
      </c>
      <c r="C27" t="s">
        <v>223</v>
      </c>
      <c r="D27">
        <v>204</v>
      </c>
      <c r="E27">
        <v>62.75</v>
      </c>
      <c r="F27">
        <v>40</v>
      </c>
      <c r="G27">
        <f t="shared" si="1"/>
        <v>51.375</v>
      </c>
      <c r="H27">
        <v>12</v>
      </c>
      <c r="I27">
        <v>2</v>
      </c>
      <c r="J27">
        <v>15</v>
      </c>
      <c r="K27" s="11" t="str">
        <f t="shared" si="2"/>
        <v>3</v>
      </c>
      <c r="L27" s="11">
        <v>5</v>
      </c>
      <c r="M27" s="11"/>
      <c r="O27" s="4">
        <f t="shared" si="0"/>
        <v>2</v>
      </c>
      <c r="P27" s="4"/>
    </row>
    <row r="28" spans="1:16" x14ac:dyDescent="0.3">
      <c r="A28" t="s">
        <v>15</v>
      </c>
      <c r="B28" t="s">
        <v>16</v>
      </c>
      <c r="C28" t="s">
        <v>15</v>
      </c>
      <c r="D28">
        <v>707</v>
      </c>
      <c r="E28">
        <v>79.209999999999994</v>
      </c>
      <c r="F28">
        <v>83.37</v>
      </c>
      <c r="G28">
        <f t="shared" si="1"/>
        <v>81.289999999999992</v>
      </c>
      <c r="H28">
        <v>8</v>
      </c>
      <c r="I28">
        <v>13</v>
      </c>
      <c r="J28">
        <v>12</v>
      </c>
      <c r="K28" s="11" t="str">
        <f t="shared" si="2"/>
        <v>5</v>
      </c>
      <c r="L28" s="11">
        <v>5</v>
      </c>
      <c r="M28" s="11"/>
      <c r="O28" s="4">
        <f t="shared" si="0"/>
        <v>0</v>
      </c>
      <c r="P28" s="4"/>
    </row>
    <row r="29" spans="1:16" x14ac:dyDescent="0.3">
      <c r="A29" t="s">
        <v>143</v>
      </c>
      <c r="B29" t="s">
        <v>17</v>
      </c>
      <c r="C29" t="s">
        <v>143</v>
      </c>
      <c r="D29">
        <v>134</v>
      </c>
      <c r="E29">
        <v>68.66</v>
      </c>
      <c r="F29">
        <v>65.08</v>
      </c>
      <c r="G29">
        <f t="shared" si="1"/>
        <v>66.87</v>
      </c>
      <c r="H29">
        <v>8</v>
      </c>
      <c r="I29">
        <v>9</v>
      </c>
      <c r="J29">
        <v>17</v>
      </c>
      <c r="K29" s="11" t="str">
        <f t="shared" si="2"/>
        <v>4</v>
      </c>
      <c r="L29" s="11">
        <v>5</v>
      </c>
      <c r="O29" s="4">
        <f t="shared" si="0"/>
        <v>1</v>
      </c>
      <c r="P29" s="4"/>
    </row>
    <row r="30" spans="1:16" x14ac:dyDescent="0.3">
      <c r="A30" t="s">
        <v>144</v>
      </c>
      <c r="B30" t="s">
        <v>145</v>
      </c>
      <c r="C30" t="s">
        <v>144</v>
      </c>
      <c r="D30">
        <v>308</v>
      </c>
      <c r="E30">
        <v>74.03</v>
      </c>
      <c r="F30">
        <v>80.209999999999994</v>
      </c>
      <c r="G30">
        <f t="shared" si="1"/>
        <v>77.12</v>
      </c>
      <c r="H30">
        <v>7</v>
      </c>
      <c r="I30">
        <v>13</v>
      </c>
      <c r="J30">
        <v>12</v>
      </c>
      <c r="K30" s="11" t="str">
        <f t="shared" si="2"/>
        <v>4</v>
      </c>
      <c r="L30" s="11">
        <v>5</v>
      </c>
      <c r="O30" s="4">
        <f t="shared" si="0"/>
        <v>1</v>
      </c>
      <c r="P30" s="4"/>
    </row>
    <row r="31" spans="1:16" x14ac:dyDescent="0.3">
      <c r="A31" t="s">
        <v>146</v>
      </c>
      <c r="B31" t="s">
        <v>147</v>
      </c>
      <c r="C31" t="s">
        <v>224</v>
      </c>
      <c r="D31">
        <v>36</v>
      </c>
      <c r="E31">
        <v>66.67</v>
      </c>
      <c r="F31">
        <v>42.86</v>
      </c>
      <c r="G31">
        <f t="shared" si="1"/>
        <v>54.765000000000001</v>
      </c>
      <c r="H31">
        <v>13</v>
      </c>
      <c r="I31">
        <v>6</v>
      </c>
      <c r="J31">
        <v>16</v>
      </c>
      <c r="K31" s="11" t="str">
        <f t="shared" si="2"/>
        <v>3</v>
      </c>
      <c r="L31" s="11">
        <v>5</v>
      </c>
      <c r="O31" s="4">
        <f t="shared" si="0"/>
        <v>2</v>
      </c>
      <c r="P31" s="4"/>
    </row>
    <row r="32" spans="1:16" ht="16.95" customHeight="1" x14ac:dyDescent="0.3">
      <c r="A32" t="s">
        <v>18</v>
      </c>
      <c r="B32" t="s">
        <v>19</v>
      </c>
      <c r="C32" t="s">
        <v>18</v>
      </c>
      <c r="D32">
        <v>1004</v>
      </c>
      <c r="E32">
        <v>67.03</v>
      </c>
      <c r="F32">
        <v>38.9</v>
      </c>
      <c r="G32">
        <f t="shared" si="1"/>
        <v>52.965000000000003</v>
      </c>
      <c r="H32">
        <v>12</v>
      </c>
      <c r="I32">
        <v>2</v>
      </c>
      <c r="J32">
        <v>13</v>
      </c>
      <c r="K32" s="11" t="str">
        <f t="shared" si="2"/>
        <v>3</v>
      </c>
      <c r="L32" s="11">
        <v>5</v>
      </c>
      <c r="O32" s="4">
        <f t="shared" si="0"/>
        <v>2</v>
      </c>
      <c r="P32" s="4"/>
    </row>
    <row r="33" spans="1:16" x14ac:dyDescent="0.3">
      <c r="A33" t="s">
        <v>148</v>
      </c>
      <c r="B33" t="s">
        <v>20</v>
      </c>
      <c r="C33" t="s">
        <v>148</v>
      </c>
      <c r="D33">
        <v>259</v>
      </c>
      <c r="E33">
        <v>39.380000000000003</v>
      </c>
      <c r="F33">
        <v>42.59</v>
      </c>
      <c r="G33">
        <f t="shared" si="1"/>
        <v>40.984999999999999</v>
      </c>
      <c r="H33">
        <v>9</v>
      </c>
      <c r="I33">
        <v>17</v>
      </c>
      <c r="J33">
        <v>8</v>
      </c>
      <c r="K33" s="11" t="str">
        <f t="shared" si="2"/>
        <v>3</v>
      </c>
      <c r="L33" s="11">
        <v>5</v>
      </c>
      <c r="O33" s="4">
        <f t="shared" si="0"/>
        <v>2</v>
      </c>
      <c r="P33" s="4"/>
    </row>
    <row r="34" spans="1:16" x14ac:dyDescent="0.3">
      <c r="A34" t="s">
        <v>149</v>
      </c>
      <c r="B34" t="s">
        <v>21</v>
      </c>
      <c r="C34" t="s">
        <v>203</v>
      </c>
      <c r="D34">
        <v>58</v>
      </c>
      <c r="E34">
        <v>55.17</v>
      </c>
      <c r="F34">
        <v>36.840000000000003</v>
      </c>
      <c r="G34">
        <f t="shared" si="1"/>
        <v>46.005000000000003</v>
      </c>
      <c r="H34">
        <v>13</v>
      </c>
      <c r="I34">
        <v>11</v>
      </c>
      <c r="J34">
        <v>8</v>
      </c>
      <c r="K34" s="11" t="str">
        <f t="shared" si="2"/>
        <v>3</v>
      </c>
      <c r="L34" s="11">
        <v>5</v>
      </c>
      <c r="O34" s="4">
        <f t="shared" ref="O34:O65" si="3">ABS(K34-L34)</f>
        <v>2</v>
      </c>
      <c r="P34" s="4"/>
    </row>
    <row r="35" spans="1:16" x14ac:dyDescent="0.3">
      <c r="A35" t="s">
        <v>150</v>
      </c>
      <c r="B35" t="s">
        <v>151</v>
      </c>
      <c r="C35" t="s">
        <v>150</v>
      </c>
      <c r="D35">
        <v>354</v>
      </c>
      <c r="E35">
        <v>81.64</v>
      </c>
      <c r="F35">
        <v>88.3</v>
      </c>
      <c r="G35">
        <f t="shared" si="1"/>
        <v>84.97</v>
      </c>
      <c r="H35">
        <v>2</v>
      </c>
      <c r="I35">
        <v>13</v>
      </c>
      <c r="J35">
        <v>15</v>
      </c>
      <c r="K35" s="11" t="str">
        <f t="shared" si="2"/>
        <v>5</v>
      </c>
      <c r="L35" s="11">
        <v>5</v>
      </c>
      <c r="O35" s="4">
        <f t="shared" si="3"/>
        <v>0</v>
      </c>
      <c r="P35" s="4"/>
    </row>
    <row r="36" spans="1:16" x14ac:dyDescent="0.3">
      <c r="A36" t="s">
        <v>152</v>
      </c>
      <c r="B36" t="s">
        <v>153</v>
      </c>
      <c r="C36" t="s">
        <v>152</v>
      </c>
      <c r="D36">
        <v>980</v>
      </c>
      <c r="E36">
        <v>85</v>
      </c>
      <c r="F36">
        <v>74.48</v>
      </c>
      <c r="G36">
        <f t="shared" si="1"/>
        <v>79.740000000000009</v>
      </c>
      <c r="H36">
        <v>11</v>
      </c>
      <c r="I36">
        <v>15</v>
      </c>
      <c r="J36">
        <v>13</v>
      </c>
      <c r="K36" s="11" t="str">
        <f t="shared" si="2"/>
        <v>4</v>
      </c>
      <c r="L36" s="11">
        <v>5</v>
      </c>
      <c r="O36" s="4">
        <f t="shared" si="3"/>
        <v>1</v>
      </c>
      <c r="P36" s="4"/>
    </row>
    <row r="37" spans="1:16" x14ac:dyDescent="0.3">
      <c r="A37" t="s">
        <v>154</v>
      </c>
      <c r="B37" t="s">
        <v>155</v>
      </c>
      <c r="C37" t="s">
        <v>154</v>
      </c>
      <c r="D37">
        <v>3763</v>
      </c>
      <c r="E37">
        <v>79.94</v>
      </c>
      <c r="F37">
        <v>59.4</v>
      </c>
      <c r="G37">
        <f t="shared" si="1"/>
        <v>69.67</v>
      </c>
      <c r="H37">
        <v>11</v>
      </c>
      <c r="I37">
        <v>7</v>
      </c>
      <c r="J37">
        <v>13</v>
      </c>
      <c r="K37" s="11" t="str">
        <f t="shared" si="2"/>
        <v>4</v>
      </c>
      <c r="L37" s="11">
        <v>5</v>
      </c>
      <c r="O37" s="4">
        <f t="shared" si="3"/>
        <v>1</v>
      </c>
      <c r="P37" s="4"/>
    </row>
    <row r="38" spans="1:16" x14ac:dyDescent="0.3">
      <c r="A38" t="s">
        <v>22</v>
      </c>
      <c r="B38" t="s">
        <v>23</v>
      </c>
      <c r="C38" t="s">
        <v>22</v>
      </c>
      <c r="D38">
        <v>1538</v>
      </c>
      <c r="E38">
        <v>58.65</v>
      </c>
      <c r="F38">
        <v>53.73</v>
      </c>
      <c r="G38">
        <f t="shared" si="1"/>
        <v>56.19</v>
      </c>
      <c r="H38">
        <v>9</v>
      </c>
      <c r="I38">
        <v>12</v>
      </c>
      <c r="J38">
        <v>15</v>
      </c>
      <c r="K38" s="11" t="str">
        <f t="shared" si="2"/>
        <v>3</v>
      </c>
      <c r="L38" s="11">
        <v>5</v>
      </c>
      <c r="O38" s="4">
        <f t="shared" si="3"/>
        <v>2</v>
      </c>
      <c r="P38" s="4"/>
    </row>
    <row r="39" spans="1:16" x14ac:dyDescent="0.3">
      <c r="A39" t="s">
        <v>156</v>
      </c>
      <c r="B39" t="s">
        <v>157</v>
      </c>
      <c r="C39" t="s">
        <v>156</v>
      </c>
      <c r="D39">
        <v>117</v>
      </c>
      <c r="E39">
        <v>56.41</v>
      </c>
      <c r="F39">
        <v>62.22</v>
      </c>
      <c r="G39">
        <f t="shared" si="1"/>
        <v>59.314999999999998</v>
      </c>
      <c r="H39">
        <v>2</v>
      </c>
      <c r="I39">
        <v>13</v>
      </c>
      <c r="J39">
        <v>15</v>
      </c>
      <c r="K39" s="11" t="str">
        <f t="shared" si="2"/>
        <v>3</v>
      </c>
      <c r="L39" s="11">
        <v>5</v>
      </c>
      <c r="O39" s="4">
        <f t="shared" si="3"/>
        <v>2</v>
      </c>
      <c r="P39" s="4"/>
    </row>
    <row r="40" spans="1:16" x14ac:dyDescent="0.3">
      <c r="A40" t="s">
        <v>158</v>
      </c>
      <c r="B40" t="s">
        <v>159</v>
      </c>
      <c r="C40" t="s">
        <v>158</v>
      </c>
      <c r="D40">
        <v>1038</v>
      </c>
      <c r="E40">
        <v>68.59</v>
      </c>
      <c r="F40">
        <v>45.71</v>
      </c>
      <c r="G40">
        <f t="shared" si="1"/>
        <v>57.150000000000006</v>
      </c>
      <c r="H40">
        <v>7</v>
      </c>
      <c r="I40">
        <v>6</v>
      </c>
      <c r="J40">
        <v>12</v>
      </c>
      <c r="K40" s="11" t="str">
        <f t="shared" si="2"/>
        <v>3</v>
      </c>
      <c r="L40" s="11">
        <v>5</v>
      </c>
      <c r="O40" s="4">
        <f t="shared" si="3"/>
        <v>2</v>
      </c>
      <c r="P40" s="4"/>
    </row>
    <row r="41" spans="1:16" x14ac:dyDescent="0.3">
      <c r="A41" t="s">
        <v>160</v>
      </c>
      <c r="B41" t="s">
        <v>161</v>
      </c>
      <c r="C41" t="s">
        <v>225</v>
      </c>
      <c r="D41">
        <v>247</v>
      </c>
      <c r="E41">
        <v>59.51</v>
      </c>
      <c r="F41">
        <v>69.37</v>
      </c>
      <c r="G41">
        <f t="shared" si="1"/>
        <v>64.44</v>
      </c>
      <c r="H41">
        <v>2</v>
      </c>
      <c r="I41">
        <v>12</v>
      </c>
      <c r="J41">
        <v>9</v>
      </c>
      <c r="K41" s="11" t="str">
        <f t="shared" si="2"/>
        <v>4</v>
      </c>
      <c r="L41" s="11">
        <v>5</v>
      </c>
      <c r="O41" s="4">
        <f t="shared" si="3"/>
        <v>1</v>
      </c>
      <c r="P41" s="4"/>
    </row>
    <row r="42" spans="1:16" x14ac:dyDescent="0.3">
      <c r="A42" t="s">
        <v>162</v>
      </c>
      <c r="B42" t="s">
        <v>163</v>
      </c>
      <c r="C42" t="s">
        <v>162</v>
      </c>
      <c r="D42">
        <v>159</v>
      </c>
      <c r="E42">
        <v>67.3</v>
      </c>
      <c r="F42">
        <v>54.43</v>
      </c>
      <c r="G42">
        <f t="shared" si="1"/>
        <v>60.864999999999995</v>
      </c>
      <c r="H42">
        <v>13</v>
      </c>
      <c r="I42">
        <v>16</v>
      </c>
      <c r="J42">
        <v>15</v>
      </c>
      <c r="K42" s="11" t="str">
        <f t="shared" si="2"/>
        <v>4</v>
      </c>
      <c r="L42" s="11">
        <v>5</v>
      </c>
      <c r="O42" s="4">
        <f t="shared" si="3"/>
        <v>1</v>
      </c>
      <c r="P42" s="4"/>
    </row>
    <row r="43" spans="1:16" x14ac:dyDescent="0.3">
      <c r="A43" t="s">
        <v>24</v>
      </c>
      <c r="B43" t="s">
        <v>25</v>
      </c>
      <c r="C43" t="s">
        <v>24</v>
      </c>
      <c r="D43">
        <v>95</v>
      </c>
      <c r="E43">
        <v>60</v>
      </c>
      <c r="F43">
        <v>40.54</v>
      </c>
      <c r="G43">
        <f t="shared" si="1"/>
        <v>50.269999999999996</v>
      </c>
      <c r="H43">
        <v>15</v>
      </c>
      <c r="I43">
        <v>12</v>
      </c>
      <c r="J43">
        <v>13</v>
      </c>
      <c r="K43" s="11" t="str">
        <f t="shared" si="2"/>
        <v>3</v>
      </c>
      <c r="L43" s="11">
        <v>5</v>
      </c>
      <c r="O43" s="4">
        <f t="shared" si="3"/>
        <v>2</v>
      </c>
      <c r="P43" s="4"/>
    </row>
    <row r="44" spans="1:16" x14ac:dyDescent="0.3">
      <c r="A44" t="s">
        <v>164</v>
      </c>
      <c r="B44" t="s">
        <v>165</v>
      </c>
      <c r="C44" t="s">
        <v>164</v>
      </c>
      <c r="D44">
        <v>6915</v>
      </c>
      <c r="E44">
        <v>61.04</v>
      </c>
      <c r="F44">
        <v>53.95</v>
      </c>
      <c r="G44">
        <f t="shared" si="1"/>
        <v>57.495000000000005</v>
      </c>
      <c r="H44">
        <v>6</v>
      </c>
      <c r="I44">
        <v>7</v>
      </c>
      <c r="J44">
        <v>12</v>
      </c>
      <c r="K44" s="11" t="str">
        <f t="shared" si="2"/>
        <v>3</v>
      </c>
      <c r="L44" s="11">
        <v>5</v>
      </c>
      <c r="O44" s="4">
        <f t="shared" si="3"/>
        <v>2</v>
      </c>
      <c r="P44" s="4"/>
    </row>
    <row r="45" spans="1:16" x14ac:dyDescent="0.3">
      <c r="A45" t="s">
        <v>166</v>
      </c>
      <c r="B45" t="s">
        <v>167</v>
      </c>
      <c r="C45" t="s">
        <v>166</v>
      </c>
      <c r="D45">
        <v>165</v>
      </c>
      <c r="E45">
        <v>71.52</v>
      </c>
      <c r="F45">
        <v>48.94</v>
      </c>
      <c r="G45">
        <f t="shared" si="1"/>
        <v>60.23</v>
      </c>
      <c r="H45">
        <v>13</v>
      </c>
      <c r="I45">
        <v>15</v>
      </c>
      <c r="J45">
        <v>16</v>
      </c>
      <c r="K45" s="11" t="str">
        <f t="shared" si="2"/>
        <v>4</v>
      </c>
      <c r="L45" s="11">
        <v>5</v>
      </c>
      <c r="O45" s="4">
        <f t="shared" si="3"/>
        <v>1</v>
      </c>
      <c r="P45" s="4"/>
    </row>
    <row r="46" spans="1:16" x14ac:dyDescent="0.3">
      <c r="A46" t="s">
        <v>168</v>
      </c>
      <c r="B46" t="s">
        <v>26</v>
      </c>
      <c r="C46" t="s">
        <v>226</v>
      </c>
      <c r="D46">
        <v>420</v>
      </c>
      <c r="E46">
        <v>56.67</v>
      </c>
      <c r="F46">
        <v>39.630000000000003</v>
      </c>
      <c r="G46">
        <f t="shared" si="1"/>
        <v>48.150000000000006</v>
      </c>
      <c r="H46">
        <v>17</v>
      </c>
      <c r="I46">
        <v>5</v>
      </c>
      <c r="J46">
        <v>8</v>
      </c>
      <c r="K46" s="11" t="str">
        <f t="shared" si="2"/>
        <v>3</v>
      </c>
      <c r="L46" s="11">
        <v>5</v>
      </c>
      <c r="O46" s="4">
        <f t="shared" si="3"/>
        <v>2</v>
      </c>
      <c r="P46" s="4"/>
    </row>
    <row r="47" spans="1:16" x14ac:dyDescent="0.3">
      <c r="A47" t="s">
        <v>27</v>
      </c>
      <c r="B47" t="s">
        <v>28</v>
      </c>
      <c r="C47" t="s">
        <v>27</v>
      </c>
      <c r="D47">
        <v>206</v>
      </c>
      <c r="E47">
        <v>66.989999999999995</v>
      </c>
      <c r="F47">
        <v>57.14</v>
      </c>
      <c r="G47">
        <f t="shared" si="1"/>
        <v>62.064999999999998</v>
      </c>
      <c r="H47">
        <v>9</v>
      </c>
      <c r="I47">
        <v>4</v>
      </c>
      <c r="J47">
        <v>16</v>
      </c>
      <c r="K47" s="11" t="str">
        <f t="shared" si="2"/>
        <v>4</v>
      </c>
      <c r="L47" s="11">
        <v>5</v>
      </c>
      <c r="O47" s="4">
        <f t="shared" si="3"/>
        <v>1</v>
      </c>
      <c r="P47" s="4"/>
    </row>
    <row r="48" spans="1:16" x14ac:dyDescent="0.3">
      <c r="A48" t="s">
        <v>169</v>
      </c>
      <c r="B48" t="s">
        <v>170</v>
      </c>
      <c r="C48" t="s">
        <v>169</v>
      </c>
      <c r="D48">
        <v>261</v>
      </c>
      <c r="E48">
        <v>56.7</v>
      </c>
      <c r="F48">
        <v>35.14</v>
      </c>
      <c r="G48">
        <f t="shared" si="1"/>
        <v>45.92</v>
      </c>
      <c r="H48">
        <v>16</v>
      </c>
      <c r="I48">
        <v>8</v>
      </c>
      <c r="J48">
        <v>10</v>
      </c>
      <c r="K48" s="11" t="str">
        <f t="shared" si="2"/>
        <v>3</v>
      </c>
      <c r="L48" s="11">
        <v>5</v>
      </c>
      <c r="O48" s="4">
        <f t="shared" si="3"/>
        <v>2</v>
      </c>
      <c r="P48" s="4"/>
    </row>
    <row r="49" spans="1:16" x14ac:dyDescent="0.3">
      <c r="A49" t="s">
        <v>29</v>
      </c>
      <c r="B49" t="s">
        <v>30</v>
      </c>
      <c r="C49" t="s">
        <v>29</v>
      </c>
      <c r="D49">
        <v>99</v>
      </c>
      <c r="E49">
        <v>85.86</v>
      </c>
      <c r="F49">
        <v>79.45</v>
      </c>
      <c r="G49">
        <f t="shared" si="1"/>
        <v>82.655000000000001</v>
      </c>
      <c r="H49">
        <v>16</v>
      </c>
      <c r="I49">
        <v>10</v>
      </c>
      <c r="J49">
        <v>3</v>
      </c>
      <c r="K49" s="11" t="str">
        <f t="shared" si="2"/>
        <v>5</v>
      </c>
      <c r="L49" s="11">
        <v>5</v>
      </c>
      <c r="O49" s="4">
        <f t="shared" si="3"/>
        <v>0</v>
      </c>
      <c r="P49" s="4"/>
    </row>
    <row r="50" spans="1:16" x14ac:dyDescent="0.3">
      <c r="A50" t="s">
        <v>171</v>
      </c>
      <c r="B50" t="s">
        <v>172</v>
      </c>
      <c r="C50" t="s">
        <v>171</v>
      </c>
      <c r="D50">
        <v>166</v>
      </c>
      <c r="E50">
        <v>30.72</v>
      </c>
      <c r="F50">
        <v>73.17</v>
      </c>
      <c r="G50">
        <f t="shared" si="1"/>
        <v>51.945</v>
      </c>
      <c r="H50">
        <v>15</v>
      </c>
      <c r="I50">
        <v>13</v>
      </c>
      <c r="J50">
        <v>16</v>
      </c>
      <c r="K50" s="11" t="str">
        <f t="shared" si="2"/>
        <v>3</v>
      </c>
      <c r="L50" s="11">
        <v>5</v>
      </c>
      <c r="O50" s="4">
        <f t="shared" si="3"/>
        <v>2</v>
      </c>
      <c r="P50" s="4"/>
    </row>
    <row r="51" spans="1:16" x14ac:dyDescent="0.3">
      <c r="A51" t="s">
        <v>31</v>
      </c>
      <c r="B51" t="s">
        <v>173</v>
      </c>
      <c r="C51" t="s">
        <v>171</v>
      </c>
      <c r="D51">
        <v>166</v>
      </c>
      <c r="E51">
        <v>30.72</v>
      </c>
      <c r="F51">
        <v>73.17</v>
      </c>
      <c r="G51">
        <f t="shared" si="1"/>
        <v>51.945</v>
      </c>
      <c r="H51">
        <v>15</v>
      </c>
      <c r="I51">
        <v>13</v>
      </c>
      <c r="J51">
        <v>16</v>
      </c>
      <c r="K51" s="11" t="str">
        <f t="shared" si="2"/>
        <v>3</v>
      </c>
      <c r="L51" s="11">
        <v>5</v>
      </c>
      <c r="O51" s="4">
        <f t="shared" si="3"/>
        <v>2</v>
      </c>
      <c r="P51" s="4"/>
    </row>
    <row r="52" spans="1:16" x14ac:dyDescent="0.3">
      <c r="A52" t="s">
        <v>174</v>
      </c>
      <c r="B52" t="s">
        <v>32</v>
      </c>
      <c r="C52" t="s">
        <v>174</v>
      </c>
      <c r="D52">
        <v>597</v>
      </c>
      <c r="E52">
        <v>58.79</v>
      </c>
      <c r="F52">
        <v>38.29</v>
      </c>
      <c r="G52">
        <f t="shared" si="1"/>
        <v>48.54</v>
      </c>
      <c r="H52">
        <v>9</v>
      </c>
      <c r="I52">
        <v>17</v>
      </c>
      <c r="J52">
        <v>8</v>
      </c>
      <c r="K52" s="11" t="str">
        <f t="shared" si="2"/>
        <v>3</v>
      </c>
      <c r="L52" s="11">
        <v>5</v>
      </c>
      <c r="O52" s="4">
        <f t="shared" si="3"/>
        <v>2</v>
      </c>
      <c r="P52" s="4"/>
    </row>
    <row r="53" spans="1:16" x14ac:dyDescent="0.3">
      <c r="A53" t="s">
        <v>33</v>
      </c>
      <c r="B53" t="s">
        <v>34</v>
      </c>
      <c r="C53" t="s">
        <v>33</v>
      </c>
      <c r="D53">
        <v>418</v>
      </c>
      <c r="E53">
        <v>60.29</v>
      </c>
      <c r="F53">
        <v>59.78</v>
      </c>
      <c r="G53">
        <f t="shared" si="1"/>
        <v>60.034999999999997</v>
      </c>
      <c r="H53">
        <v>17</v>
      </c>
      <c r="I53">
        <v>8</v>
      </c>
      <c r="J53">
        <v>9</v>
      </c>
      <c r="K53" s="11" t="str">
        <f t="shared" si="2"/>
        <v>4</v>
      </c>
      <c r="L53" s="11">
        <v>5</v>
      </c>
      <c r="O53" s="4">
        <f t="shared" si="3"/>
        <v>1</v>
      </c>
      <c r="P53" s="4"/>
    </row>
    <row r="54" spans="1:16" x14ac:dyDescent="0.3">
      <c r="A54" t="s">
        <v>35</v>
      </c>
      <c r="B54" t="s">
        <v>36</v>
      </c>
      <c r="C54" t="s">
        <v>35</v>
      </c>
      <c r="D54">
        <v>158</v>
      </c>
      <c r="E54">
        <v>77.849999999999994</v>
      </c>
      <c r="F54">
        <v>80.53</v>
      </c>
      <c r="G54">
        <f t="shared" si="1"/>
        <v>79.19</v>
      </c>
      <c r="H54">
        <v>8</v>
      </c>
      <c r="I54">
        <v>9</v>
      </c>
      <c r="J54">
        <v>17</v>
      </c>
      <c r="K54" s="11" t="str">
        <f t="shared" si="2"/>
        <v>4</v>
      </c>
      <c r="L54" s="11">
        <v>5</v>
      </c>
      <c r="O54" s="4">
        <f t="shared" si="3"/>
        <v>1</v>
      </c>
      <c r="P54" s="4"/>
    </row>
    <row r="55" spans="1:16" x14ac:dyDescent="0.3">
      <c r="A55" t="s">
        <v>37</v>
      </c>
      <c r="B55" t="s">
        <v>38</v>
      </c>
      <c r="C55" t="s">
        <v>37</v>
      </c>
      <c r="D55">
        <v>687</v>
      </c>
      <c r="E55">
        <v>63.03</v>
      </c>
      <c r="F55">
        <v>39.26</v>
      </c>
      <c r="G55">
        <f t="shared" si="1"/>
        <v>51.144999999999996</v>
      </c>
      <c r="H55">
        <v>8</v>
      </c>
      <c r="I55">
        <v>10</v>
      </c>
      <c r="J55">
        <v>5</v>
      </c>
      <c r="K55" s="11" t="str">
        <f t="shared" si="2"/>
        <v>3</v>
      </c>
      <c r="L55" s="11">
        <v>5</v>
      </c>
      <c r="O55" s="4">
        <f t="shared" si="3"/>
        <v>2</v>
      </c>
      <c r="P55" s="4"/>
    </row>
    <row r="56" spans="1:16" x14ac:dyDescent="0.3">
      <c r="A56" t="s">
        <v>175</v>
      </c>
      <c r="B56" t="s">
        <v>39</v>
      </c>
      <c r="C56" t="s">
        <v>227</v>
      </c>
      <c r="D56">
        <v>499</v>
      </c>
      <c r="E56">
        <v>68.14</v>
      </c>
      <c r="F56">
        <v>59.55</v>
      </c>
      <c r="G56">
        <f t="shared" si="1"/>
        <v>63.844999999999999</v>
      </c>
      <c r="H56">
        <v>8</v>
      </c>
      <c r="I56">
        <v>17</v>
      </c>
      <c r="J56">
        <v>10</v>
      </c>
      <c r="K56" s="11" t="str">
        <f t="shared" si="2"/>
        <v>4</v>
      </c>
      <c r="L56" s="11">
        <v>5</v>
      </c>
      <c r="O56" s="4">
        <f t="shared" si="3"/>
        <v>1</v>
      </c>
      <c r="P56" s="4"/>
    </row>
    <row r="57" spans="1:16" x14ac:dyDescent="0.3">
      <c r="A57" t="s">
        <v>40</v>
      </c>
      <c r="B57" t="s">
        <v>41</v>
      </c>
      <c r="C57" t="s">
        <v>40</v>
      </c>
      <c r="D57">
        <v>517</v>
      </c>
      <c r="E57">
        <v>64.8</v>
      </c>
      <c r="F57">
        <v>47.96</v>
      </c>
      <c r="G57">
        <f t="shared" si="1"/>
        <v>56.379999999999995</v>
      </c>
      <c r="H57">
        <v>8</v>
      </c>
      <c r="I57">
        <v>9</v>
      </c>
      <c r="J57">
        <v>16</v>
      </c>
      <c r="K57" s="11" t="str">
        <f t="shared" si="2"/>
        <v>3</v>
      </c>
      <c r="L57" s="11">
        <v>5</v>
      </c>
      <c r="O57" s="4">
        <f t="shared" si="3"/>
        <v>2</v>
      </c>
      <c r="P57" s="4"/>
    </row>
    <row r="58" spans="1:16" x14ac:dyDescent="0.3">
      <c r="A58" t="s">
        <v>42</v>
      </c>
      <c r="B58" t="s">
        <v>43</v>
      </c>
      <c r="C58" t="s">
        <v>42</v>
      </c>
      <c r="D58">
        <v>537</v>
      </c>
      <c r="E58">
        <v>59.4</v>
      </c>
      <c r="F58">
        <v>61.72</v>
      </c>
      <c r="G58">
        <f t="shared" si="1"/>
        <v>60.56</v>
      </c>
      <c r="H58">
        <v>8</v>
      </c>
      <c r="I58">
        <v>16</v>
      </c>
      <c r="J58">
        <v>9</v>
      </c>
      <c r="K58" s="11" t="str">
        <f t="shared" si="2"/>
        <v>4</v>
      </c>
      <c r="L58" s="11">
        <v>5</v>
      </c>
      <c r="O58" s="4">
        <f t="shared" si="3"/>
        <v>1</v>
      </c>
      <c r="P58" s="4"/>
    </row>
    <row r="59" spans="1:16" x14ac:dyDescent="0.3">
      <c r="A59" t="s">
        <v>44</v>
      </c>
      <c r="B59" t="s">
        <v>45</v>
      </c>
      <c r="C59" t="s">
        <v>44</v>
      </c>
      <c r="D59">
        <v>215</v>
      </c>
      <c r="E59">
        <v>72.56</v>
      </c>
      <c r="F59">
        <v>70.69</v>
      </c>
      <c r="G59">
        <f t="shared" si="1"/>
        <v>71.625</v>
      </c>
      <c r="H59">
        <v>8</v>
      </c>
      <c r="I59">
        <v>5</v>
      </c>
      <c r="J59">
        <v>10</v>
      </c>
      <c r="K59" s="11" t="str">
        <f t="shared" si="2"/>
        <v>4</v>
      </c>
      <c r="L59" s="11">
        <v>5</v>
      </c>
      <c r="O59" s="4">
        <f t="shared" si="3"/>
        <v>1</v>
      </c>
      <c r="P59" s="4"/>
    </row>
    <row r="60" spans="1:16" x14ac:dyDescent="0.3">
      <c r="A60" t="s">
        <v>46</v>
      </c>
      <c r="B60" t="s">
        <v>47</v>
      </c>
      <c r="C60" t="s">
        <v>46</v>
      </c>
      <c r="D60">
        <v>226</v>
      </c>
      <c r="E60">
        <v>88.94</v>
      </c>
      <c r="F60">
        <v>86.36</v>
      </c>
      <c r="G60">
        <f t="shared" si="1"/>
        <v>87.65</v>
      </c>
      <c r="H60">
        <v>8</v>
      </c>
      <c r="I60">
        <v>9</v>
      </c>
      <c r="J60">
        <v>10</v>
      </c>
      <c r="K60" s="11" t="str">
        <f t="shared" si="2"/>
        <v>5</v>
      </c>
      <c r="L60" s="11">
        <v>5</v>
      </c>
      <c r="O60" s="4">
        <f t="shared" si="3"/>
        <v>0</v>
      </c>
      <c r="P60" s="4"/>
    </row>
    <row r="61" spans="1:16" x14ac:dyDescent="0.3">
      <c r="A61" t="s">
        <v>48</v>
      </c>
      <c r="B61" t="s">
        <v>49</v>
      </c>
      <c r="C61" t="s">
        <v>48</v>
      </c>
      <c r="D61">
        <v>509</v>
      </c>
      <c r="E61">
        <v>52.46</v>
      </c>
      <c r="F61">
        <v>50.3</v>
      </c>
      <c r="G61">
        <f t="shared" si="1"/>
        <v>51.379999999999995</v>
      </c>
      <c r="H61">
        <v>8</v>
      </c>
      <c r="I61">
        <v>16</v>
      </c>
      <c r="J61">
        <v>10</v>
      </c>
      <c r="K61" s="11" t="str">
        <f t="shared" si="2"/>
        <v>3</v>
      </c>
      <c r="L61" s="11">
        <v>5</v>
      </c>
      <c r="O61" s="4">
        <f t="shared" si="3"/>
        <v>2</v>
      </c>
      <c r="P61" s="4"/>
    </row>
    <row r="62" spans="1:16" x14ac:dyDescent="0.3">
      <c r="A62" t="s">
        <v>50</v>
      </c>
      <c r="B62" t="s">
        <v>49</v>
      </c>
      <c r="C62" t="s">
        <v>48</v>
      </c>
      <c r="D62">
        <v>509</v>
      </c>
      <c r="E62">
        <v>52.46</v>
      </c>
      <c r="F62">
        <v>50.3</v>
      </c>
      <c r="G62">
        <f t="shared" si="1"/>
        <v>51.379999999999995</v>
      </c>
      <c r="H62">
        <v>8</v>
      </c>
      <c r="I62">
        <v>16</v>
      </c>
      <c r="J62">
        <v>10</v>
      </c>
      <c r="K62" s="11" t="str">
        <f t="shared" si="2"/>
        <v>3</v>
      </c>
      <c r="L62" s="11">
        <v>5</v>
      </c>
      <c r="O62" s="4">
        <f t="shared" si="3"/>
        <v>2</v>
      </c>
      <c r="P62" s="4"/>
    </row>
    <row r="63" spans="1:16" x14ac:dyDescent="0.3">
      <c r="A63" t="s">
        <v>89</v>
      </c>
      <c r="B63" t="s">
        <v>176</v>
      </c>
      <c r="C63" t="s">
        <v>89</v>
      </c>
      <c r="D63">
        <v>256</v>
      </c>
      <c r="E63">
        <v>82.81</v>
      </c>
      <c r="F63">
        <v>84.29</v>
      </c>
      <c r="G63">
        <f t="shared" si="1"/>
        <v>83.550000000000011</v>
      </c>
      <c r="H63">
        <v>8</v>
      </c>
      <c r="I63">
        <v>9</v>
      </c>
      <c r="J63">
        <v>5</v>
      </c>
      <c r="K63" s="11" t="str">
        <f t="shared" si="2"/>
        <v>5</v>
      </c>
      <c r="L63" s="11">
        <v>5</v>
      </c>
      <c r="O63" s="4">
        <f t="shared" si="3"/>
        <v>0</v>
      </c>
      <c r="P63" s="4"/>
    </row>
    <row r="64" spans="1:16" x14ac:dyDescent="0.3">
      <c r="A64" t="s">
        <v>51</v>
      </c>
      <c r="B64" t="s">
        <v>52</v>
      </c>
      <c r="C64" t="s">
        <v>51</v>
      </c>
      <c r="D64">
        <v>308</v>
      </c>
      <c r="E64">
        <v>59.09</v>
      </c>
      <c r="F64">
        <v>43.08</v>
      </c>
      <c r="G64">
        <f t="shared" si="1"/>
        <v>51.085000000000001</v>
      </c>
      <c r="H64">
        <v>8</v>
      </c>
      <c r="I64">
        <v>10</v>
      </c>
      <c r="J64">
        <v>5</v>
      </c>
      <c r="K64" s="11" t="str">
        <f t="shared" si="2"/>
        <v>3</v>
      </c>
      <c r="L64" s="11">
        <v>5</v>
      </c>
      <c r="O64" s="4">
        <f t="shared" si="3"/>
        <v>2</v>
      </c>
      <c r="P64" s="4"/>
    </row>
    <row r="65" spans="1:16" x14ac:dyDescent="0.3">
      <c r="A65" t="s">
        <v>177</v>
      </c>
      <c r="B65" t="s">
        <v>178</v>
      </c>
      <c r="C65" t="s">
        <v>177</v>
      </c>
      <c r="D65">
        <v>177</v>
      </c>
      <c r="E65">
        <v>55.93</v>
      </c>
      <c r="F65">
        <v>48.44</v>
      </c>
      <c r="G65">
        <f t="shared" si="1"/>
        <v>52.185000000000002</v>
      </c>
      <c r="H65">
        <v>8</v>
      </c>
      <c r="I65">
        <v>16</v>
      </c>
      <c r="J65">
        <v>9</v>
      </c>
      <c r="K65" s="11" t="str">
        <f t="shared" si="2"/>
        <v>3</v>
      </c>
      <c r="L65" s="11">
        <v>5</v>
      </c>
      <c r="O65" s="4">
        <f t="shared" si="3"/>
        <v>2</v>
      </c>
      <c r="P65" s="4"/>
    </row>
    <row r="66" spans="1:16" x14ac:dyDescent="0.3">
      <c r="A66" t="s">
        <v>87</v>
      </c>
      <c r="B66" t="s">
        <v>88</v>
      </c>
      <c r="C66" t="s">
        <v>87</v>
      </c>
      <c r="D66">
        <v>216</v>
      </c>
      <c r="E66">
        <v>51.39</v>
      </c>
      <c r="F66">
        <v>52.38</v>
      </c>
      <c r="G66">
        <f t="shared" si="1"/>
        <v>51.885000000000005</v>
      </c>
      <c r="H66">
        <v>9</v>
      </c>
      <c r="I66">
        <v>8</v>
      </c>
      <c r="J66">
        <v>17</v>
      </c>
      <c r="K66" s="11" t="str">
        <f t="shared" si="2"/>
        <v>3</v>
      </c>
      <c r="L66" s="11">
        <v>5</v>
      </c>
      <c r="O66" s="4">
        <f t="shared" ref="O66:O97" si="4">ABS(K66-L66)</f>
        <v>2</v>
      </c>
      <c r="P66" s="4"/>
    </row>
    <row r="67" spans="1:16" x14ac:dyDescent="0.3">
      <c r="A67" t="s">
        <v>53</v>
      </c>
      <c r="B67" t="s">
        <v>54</v>
      </c>
      <c r="C67" t="s">
        <v>53</v>
      </c>
      <c r="D67">
        <v>1127</v>
      </c>
      <c r="E67">
        <v>52</v>
      </c>
      <c r="F67">
        <v>43.46</v>
      </c>
      <c r="G67">
        <f t="shared" ref="G67:G101" si="5">$R$1*E67+$S$1*F67</f>
        <v>47.730000000000004</v>
      </c>
      <c r="H67">
        <v>9</v>
      </c>
      <c r="I67">
        <v>8</v>
      </c>
      <c r="J67">
        <v>17</v>
      </c>
      <c r="K67" s="11" t="str">
        <f t="shared" ref="K67:K101" si="6">IF(G67&gt;$V$1,"5",IF(G67&gt;$W$1,"4",IF(G67&gt;$X$1,"3",IF(G67&gt;$Y$1,"2",IF(G67&gt;$Z$1,"1",IF(G67&gt;$AA$1,"0"))))))</f>
        <v>3</v>
      </c>
      <c r="L67" s="11">
        <v>5</v>
      </c>
      <c r="O67" s="4">
        <f t="shared" si="4"/>
        <v>2</v>
      </c>
      <c r="P67" s="4"/>
    </row>
    <row r="68" spans="1:16" x14ac:dyDescent="0.3">
      <c r="A68" t="s">
        <v>55</v>
      </c>
      <c r="B68" t="s">
        <v>179</v>
      </c>
      <c r="C68" t="s">
        <v>55</v>
      </c>
      <c r="D68">
        <v>220</v>
      </c>
      <c r="E68">
        <v>50</v>
      </c>
      <c r="F68">
        <v>35.44</v>
      </c>
      <c r="G68">
        <f t="shared" si="5"/>
        <v>42.72</v>
      </c>
      <c r="H68">
        <v>9</v>
      </c>
      <c r="I68">
        <v>16</v>
      </c>
      <c r="J68">
        <v>8</v>
      </c>
      <c r="K68" s="11" t="str">
        <f t="shared" si="6"/>
        <v>3</v>
      </c>
      <c r="L68" s="11">
        <v>5</v>
      </c>
      <c r="M68" s="11"/>
      <c r="O68" s="4">
        <f t="shared" si="4"/>
        <v>2</v>
      </c>
      <c r="P68" s="4"/>
    </row>
    <row r="69" spans="1:16" x14ac:dyDescent="0.3">
      <c r="A69" t="s">
        <v>56</v>
      </c>
      <c r="B69" t="s">
        <v>180</v>
      </c>
      <c r="C69" t="s">
        <v>56</v>
      </c>
      <c r="D69">
        <v>435</v>
      </c>
      <c r="E69">
        <v>52.18</v>
      </c>
      <c r="F69">
        <v>44.37</v>
      </c>
      <c r="G69">
        <f t="shared" si="5"/>
        <v>48.274999999999999</v>
      </c>
      <c r="H69">
        <v>10</v>
      </c>
      <c r="I69">
        <v>8</v>
      </c>
      <c r="J69">
        <v>16</v>
      </c>
      <c r="K69" s="11" t="str">
        <f t="shared" si="6"/>
        <v>3</v>
      </c>
      <c r="L69" s="11">
        <v>5</v>
      </c>
      <c r="M69" s="11"/>
      <c r="O69" s="4">
        <f t="shared" si="4"/>
        <v>2</v>
      </c>
      <c r="P69" s="4"/>
    </row>
    <row r="70" spans="1:16" x14ac:dyDescent="0.3">
      <c r="A70" t="s">
        <v>57</v>
      </c>
      <c r="B70" t="s">
        <v>58</v>
      </c>
      <c r="C70" t="s">
        <v>57</v>
      </c>
      <c r="D70">
        <v>335</v>
      </c>
      <c r="E70">
        <v>48.66</v>
      </c>
      <c r="F70">
        <v>36.17</v>
      </c>
      <c r="G70">
        <f t="shared" si="5"/>
        <v>42.414999999999999</v>
      </c>
      <c r="H70">
        <v>16</v>
      </c>
      <c r="I70">
        <v>10</v>
      </c>
      <c r="J70">
        <v>8</v>
      </c>
      <c r="K70" s="11" t="str">
        <f t="shared" si="6"/>
        <v>3</v>
      </c>
      <c r="L70" s="11">
        <v>5</v>
      </c>
      <c r="O70" s="4">
        <f t="shared" si="4"/>
        <v>2</v>
      </c>
      <c r="P70" s="4"/>
    </row>
    <row r="71" spans="1:16" x14ac:dyDescent="0.3">
      <c r="A71" t="s">
        <v>59</v>
      </c>
      <c r="B71" t="s">
        <v>181</v>
      </c>
      <c r="C71" t="s">
        <v>59</v>
      </c>
      <c r="D71">
        <v>478</v>
      </c>
      <c r="E71">
        <v>61.72</v>
      </c>
      <c r="F71">
        <v>46.67</v>
      </c>
      <c r="G71">
        <f t="shared" si="5"/>
        <v>54.195</v>
      </c>
      <c r="H71">
        <v>9</v>
      </c>
      <c r="I71">
        <v>8</v>
      </c>
      <c r="J71">
        <v>17</v>
      </c>
      <c r="K71" s="11" t="str">
        <f t="shared" si="6"/>
        <v>3</v>
      </c>
      <c r="L71" s="11">
        <v>5</v>
      </c>
      <c r="O71" s="4">
        <f t="shared" si="4"/>
        <v>2</v>
      </c>
      <c r="P71" s="4"/>
    </row>
    <row r="72" spans="1:16" x14ac:dyDescent="0.3">
      <c r="A72" t="s">
        <v>93</v>
      </c>
      <c r="B72" t="s">
        <v>94</v>
      </c>
      <c r="C72" t="s">
        <v>228</v>
      </c>
      <c r="D72">
        <v>24</v>
      </c>
      <c r="E72">
        <v>50</v>
      </c>
      <c r="F72">
        <v>44.44</v>
      </c>
      <c r="G72">
        <f t="shared" si="5"/>
        <v>47.22</v>
      </c>
      <c r="H72">
        <v>10</v>
      </c>
      <c r="I72">
        <v>8</v>
      </c>
      <c r="J72">
        <v>16</v>
      </c>
      <c r="K72" s="11" t="str">
        <f t="shared" si="6"/>
        <v>3</v>
      </c>
      <c r="L72" s="11">
        <v>5</v>
      </c>
      <c r="O72" s="4">
        <f t="shared" si="4"/>
        <v>2</v>
      </c>
      <c r="P72" s="4"/>
    </row>
    <row r="73" spans="1:16" x14ac:dyDescent="0.3">
      <c r="A73" t="s">
        <v>92</v>
      </c>
      <c r="B73" t="s">
        <v>182</v>
      </c>
      <c r="C73" t="s">
        <v>92</v>
      </c>
      <c r="D73">
        <v>339</v>
      </c>
      <c r="E73">
        <v>45.13</v>
      </c>
      <c r="F73">
        <v>43.68</v>
      </c>
      <c r="G73">
        <f t="shared" si="5"/>
        <v>44.405000000000001</v>
      </c>
      <c r="H73">
        <v>9</v>
      </c>
      <c r="I73">
        <v>8</v>
      </c>
      <c r="J73">
        <v>10</v>
      </c>
      <c r="K73" s="11" t="str">
        <f t="shared" si="6"/>
        <v>3</v>
      </c>
      <c r="L73" s="11">
        <v>5</v>
      </c>
      <c r="O73" s="4">
        <f t="shared" si="4"/>
        <v>2</v>
      </c>
      <c r="P73" s="4"/>
    </row>
    <row r="74" spans="1:16" x14ac:dyDescent="0.3">
      <c r="A74" t="s">
        <v>60</v>
      </c>
      <c r="B74" t="s">
        <v>183</v>
      </c>
      <c r="C74" t="s">
        <v>60</v>
      </c>
      <c r="D74">
        <v>257</v>
      </c>
      <c r="E74">
        <v>52.53</v>
      </c>
      <c r="F74">
        <v>49.43</v>
      </c>
      <c r="G74">
        <f t="shared" si="5"/>
        <v>50.980000000000004</v>
      </c>
      <c r="H74">
        <v>16</v>
      </c>
      <c r="I74">
        <v>10</v>
      </c>
      <c r="J74">
        <v>8</v>
      </c>
      <c r="K74" s="11" t="str">
        <f t="shared" si="6"/>
        <v>3</v>
      </c>
      <c r="L74" s="11">
        <v>5</v>
      </c>
      <c r="O74" s="4">
        <f t="shared" si="4"/>
        <v>2</v>
      </c>
      <c r="P74" s="4"/>
    </row>
    <row r="75" spans="1:16" x14ac:dyDescent="0.3">
      <c r="A75" t="s">
        <v>61</v>
      </c>
      <c r="B75" t="s">
        <v>184</v>
      </c>
      <c r="C75" t="s">
        <v>61</v>
      </c>
      <c r="D75">
        <v>540</v>
      </c>
      <c r="E75">
        <v>57.78</v>
      </c>
      <c r="F75">
        <v>65.459999999999994</v>
      </c>
      <c r="G75">
        <f t="shared" si="5"/>
        <v>61.62</v>
      </c>
      <c r="H75">
        <v>8</v>
      </c>
      <c r="I75">
        <v>10</v>
      </c>
      <c r="J75">
        <v>16</v>
      </c>
      <c r="K75" s="11" t="str">
        <f t="shared" si="6"/>
        <v>4</v>
      </c>
      <c r="L75" s="11">
        <v>5</v>
      </c>
      <c r="O75" s="4">
        <f t="shared" si="4"/>
        <v>1</v>
      </c>
      <c r="P75" s="4"/>
    </row>
    <row r="76" spans="1:16" x14ac:dyDescent="0.3">
      <c r="A76" t="s">
        <v>62</v>
      </c>
      <c r="B76" t="s">
        <v>63</v>
      </c>
      <c r="C76" t="s">
        <v>62</v>
      </c>
      <c r="D76">
        <v>331</v>
      </c>
      <c r="E76">
        <v>45.02</v>
      </c>
      <c r="F76">
        <v>50</v>
      </c>
      <c r="G76">
        <f t="shared" si="5"/>
        <v>47.510000000000005</v>
      </c>
      <c r="H76">
        <v>16</v>
      </c>
      <c r="I76">
        <v>9</v>
      </c>
      <c r="J76">
        <v>10</v>
      </c>
      <c r="K76" s="11" t="str">
        <f t="shared" si="6"/>
        <v>3</v>
      </c>
      <c r="L76" s="11">
        <v>5</v>
      </c>
      <c r="O76" s="4">
        <f t="shared" si="4"/>
        <v>2</v>
      </c>
      <c r="P76" s="4"/>
    </row>
    <row r="77" spans="1:16" x14ac:dyDescent="0.3">
      <c r="A77" t="s">
        <v>64</v>
      </c>
      <c r="B77" t="s">
        <v>185</v>
      </c>
      <c r="C77" t="s">
        <v>64</v>
      </c>
      <c r="D77">
        <v>2155</v>
      </c>
      <c r="E77">
        <v>60.88</v>
      </c>
      <c r="F77">
        <v>37.4</v>
      </c>
      <c r="G77">
        <f t="shared" si="5"/>
        <v>49.14</v>
      </c>
      <c r="H77">
        <v>17</v>
      </c>
      <c r="I77">
        <v>8</v>
      </c>
      <c r="J77">
        <v>16</v>
      </c>
      <c r="K77" s="11" t="str">
        <f t="shared" si="6"/>
        <v>3</v>
      </c>
      <c r="L77" s="11">
        <v>5</v>
      </c>
      <c r="O77" s="4">
        <f t="shared" si="4"/>
        <v>2</v>
      </c>
      <c r="P77" s="4"/>
    </row>
    <row r="78" spans="1:16" x14ac:dyDescent="0.3">
      <c r="A78" t="s">
        <v>65</v>
      </c>
      <c r="B78" t="s">
        <v>66</v>
      </c>
      <c r="C78" t="s">
        <v>65</v>
      </c>
      <c r="D78">
        <v>256</v>
      </c>
      <c r="E78">
        <v>65.23</v>
      </c>
      <c r="F78">
        <v>44.14</v>
      </c>
      <c r="G78">
        <f t="shared" si="5"/>
        <v>54.685000000000002</v>
      </c>
      <c r="H78">
        <v>16</v>
      </c>
      <c r="I78">
        <v>10</v>
      </c>
      <c r="J78">
        <v>5</v>
      </c>
      <c r="K78" s="11" t="str">
        <f t="shared" si="6"/>
        <v>3</v>
      </c>
      <c r="L78" s="11">
        <v>5</v>
      </c>
      <c r="O78" s="4">
        <f t="shared" si="4"/>
        <v>2</v>
      </c>
      <c r="P78" s="4"/>
    </row>
    <row r="79" spans="1:16" x14ac:dyDescent="0.3">
      <c r="A79" t="s">
        <v>67</v>
      </c>
      <c r="B79" t="s">
        <v>186</v>
      </c>
      <c r="C79" t="s">
        <v>229</v>
      </c>
      <c r="D79">
        <v>466</v>
      </c>
      <c r="E79">
        <v>51.5</v>
      </c>
      <c r="F79">
        <v>50</v>
      </c>
      <c r="G79">
        <f t="shared" si="5"/>
        <v>50.75</v>
      </c>
      <c r="H79">
        <v>8</v>
      </c>
      <c r="I79">
        <v>17</v>
      </c>
      <c r="J79">
        <v>16</v>
      </c>
      <c r="K79" s="11" t="str">
        <f t="shared" si="6"/>
        <v>3</v>
      </c>
      <c r="L79" s="11">
        <v>2</v>
      </c>
      <c r="O79" s="4">
        <f t="shared" si="4"/>
        <v>1</v>
      </c>
      <c r="P79" s="4"/>
    </row>
    <row r="80" spans="1:16" x14ac:dyDescent="0.3">
      <c r="A80" t="s">
        <v>68</v>
      </c>
      <c r="B80" t="s">
        <v>187</v>
      </c>
      <c r="C80" t="s">
        <v>68</v>
      </c>
      <c r="D80">
        <v>268</v>
      </c>
      <c r="E80">
        <v>51.49</v>
      </c>
      <c r="F80">
        <v>54.64</v>
      </c>
      <c r="G80">
        <f t="shared" si="5"/>
        <v>53.064999999999998</v>
      </c>
      <c r="H80">
        <v>8</v>
      </c>
      <c r="I80">
        <v>10</v>
      </c>
      <c r="J80">
        <v>16</v>
      </c>
      <c r="K80" s="11" t="str">
        <f t="shared" si="6"/>
        <v>3</v>
      </c>
      <c r="L80" s="11">
        <v>4</v>
      </c>
      <c r="O80" s="4">
        <f t="shared" si="4"/>
        <v>1</v>
      </c>
      <c r="P80" s="4"/>
    </row>
    <row r="81" spans="1:16" x14ac:dyDescent="0.3">
      <c r="A81" t="s">
        <v>188</v>
      </c>
      <c r="B81" t="s">
        <v>83</v>
      </c>
      <c r="C81" t="s">
        <v>230</v>
      </c>
      <c r="D81">
        <v>702</v>
      </c>
      <c r="E81">
        <v>60.97</v>
      </c>
      <c r="F81">
        <v>47.49</v>
      </c>
      <c r="G81">
        <f t="shared" si="5"/>
        <v>54.230000000000004</v>
      </c>
      <c r="H81">
        <v>8</v>
      </c>
      <c r="I81">
        <v>17</v>
      </c>
      <c r="J81">
        <v>9</v>
      </c>
      <c r="K81" s="11" t="str">
        <f t="shared" si="6"/>
        <v>3</v>
      </c>
      <c r="L81" s="11">
        <v>5</v>
      </c>
      <c r="M81" s="11"/>
      <c r="O81" s="4">
        <f t="shared" si="4"/>
        <v>2</v>
      </c>
      <c r="P81" s="4"/>
    </row>
    <row r="82" spans="1:16" x14ac:dyDescent="0.3">
      <c r="A82" t="s">
        <v>98</v>
      </c>
      <c r="B82" t="s">
        <v>99</v>
      </c>
      <c r="C82" t="s">
        <v>98</v>
      </c>
      <c r="D82">
        <v>376</v>
      </c>
      <c r="E82">
        <v>47.87</v>
      </c>
      <c r="F82">
        <v>41.86</v>
      </c>
      <c r="G82">
        <f t="shared" si="5"/>
        <v>44.864999999999995</v>
      </c>
      <c r="H82">
        <v>8</v>
      </c>
      <c r="I82">
        <v>16</v>
      </c>
      <c r="J82">
        <v>9</v>
      </c>
      <c r="K82" s="11" t="str">
        <f t="shared" si="6"/>
        <v>3</v>
      </c>
      <c r="L82" s="11">
        <v>5</v>
      </c>
      <c r="M82" s="11"/>
      <c r="O82" s="4">
        <f t="shared" si="4"/>
        <v>2</v>
      </c>
      <c r="P82" s="4"/>
    </row>
    <row r="83" spans="1:16" x14ac:dyDescent="0.3">
      <c r="A83" t="s">
        <v>90</v>
      </c>
      <c r="B83" t="s">
        <v>91</v>
      </c>
      <c r="C83" t="s">
        <v>90</v>
      </c>
      <c r="D83">
        <v>339</v>
      </c>
      <c r="E83">
        <v>54.87</v>
      </c>
      <c r="F83">
        <v>58.91</v>
      </c>
      <c r="G83">
        <f t="shared" si="5"/>
        <v>56.89</v>
      </c>
      <c r="H83">
        <v>8</v>
      </c>
      <c r="I83">
        <v>16</v>
      </c>
      <c r="J83">
        <v>17</v>
      </c>
      <c r="K83" s="11" t="str">
        <f t="shared" si="6"/>
        <v>3</v>
      </c>
      <c r="L83" s="11">
        <v>5</v>
      </c>
      <c r="M83" s="11"/>
      <c r="O83" s="4">
        <f t="shared" si="4"/>
        <v>2</v>
      </c>
    </row>
    <row r="84" spans="1:16" x14ac:dyDescent="0.3">
      <c r="A84" t="s">
        <v>69</v>
      </c>
      <c r="B84" t="s">
        <v>189</v>
      </c>
      <c r="C84" t="s">
        <v>69</v>
      </c>
      <c r="D84">
        <v>364</v>
      </c>
      <c r="E84">
        <v>29.4</v>
      </c>
      <c r="F84">
        <v>55.56</v>
      </c>
      <c r="G84">
        <f t="shared" si="5"/>
        <v>42.480000000000004</v>
      </c>
      <c r="H84">
        <v>8</v>
      </c>
      <c r="I84">
        <v>10</v>
      </c>
      <c r="J84">
        <v>5</v>
      </c>
      <c r="K84" s="11" t="str">
        <f t="shared" si="6"/>
        <v>3</v>
      </c>
      <c r="L84" s="11">
        <v>5</v>
      </c>
      <c r="M84" s="11"/>
      <c r="O84" s="4">
        <f t="shared" si="4"/>
        <v>2</v>
      </c>
    </row>
    <row r="85" spans="1:16" x14ac:dyDescent="0.3">
      <c r="A85" t="s">
        <v>190</v>
      </c>
      <c r="B85" t="s">
        <v>191</v>
      </c>
      <c r="C85" t="s">
        <v>231</v>
      </c>
      <c r="D85">
        <v>496</v>
      </c>
      <c r="E85">
        <v>51.81</v>
      </c>
      <c r="F85">
        <v>42</v>
      </c>
      <c r="G85">
        <f t="shared" si="5"/>
        <v>46.905000000000001</v>
      </c>
      <c r="H85">
        <v>8</v>
      </c>
      <c r="I85">
        <v>17</v>
      </c>
      <c r="J85">
        <v>9</v>
      </c>
      <c r="K85" s="11" t="str">
        <f t="shared" si="6"/>
        <v>3</v>
      </c>
      <c r="L85" s="11">
        <v>5</v>
      </c>
      <c r="M85" s="11"/>
      <c r="O85" s="4">
        <f t="shared" si="4"/>
        <v>2</v>
      </c>
    </row>
    <row r="86" spans="1:16" x14ac:dyDescent="0.3">
      <c r="A86" t="s">
        <v>192</v>
      </c>
      <c r="B86" t="s">
        <v>193</v>
      </c>
      <c r="C86" t="s">
        <v>232</v>
      </c>
      <c r="D86">
        <v>590</v>
      </c>
      <c r="E86">
        <v>45.76</v>
      </c>
      <c r="F86">
        <v>42.51</v>
      </c>
      <c r="G86">
        <f t="shared" si="5"/>
        <v>44.134999999999998</v>
      </c>
      <c r="H86">
        <v>8</v>
      </c>
      <c r="I86">
        <v>16</v>
      </c>
      <c r="J86">
        <v>17</v>
      </c>
      <c r="K86" s="11" t="str">
        <f t="shared" si="6"/>
        <v>3</v>
      </c>
      <c r="L86" s="11">
        <v>5</v>
      </c>
      <c r="M86" s="11"/>
      <c r="O86" s="4">
        <f t="shared" si="4"/>
        <v>2</v>
      </c>
    </row>
    <row r="87" spans="1:16" x14ac:dyDescent="0.3">
      <c r="A87" t="s">
        <v>70</v>
      </c>
      <c r="B87" t="s">
        <v>194</v>
      </c>
      <c r="C87" t="s">
        <v>70</v>
      </c>
      <c r="D87">
        <v>275</v>
      </c>
      <c r="E87">
        <v>50.55</v>
      </c>
      <c r="F87">
        <v>44.9</v>
      </c>
      <c r="G87">
        <f t="shared" si="5"/>
        <v>47.724999999999994</v>
      </c>
      <c r="H87">
        <v>8</v>
      </c>
      <c r="I87">
        <v>16</v>
      </c>
      <c r="J87">
        <v>9</v>
      </c>
      <c r="K87" s="11" t="str">
        <f t="shared" si="6"/>
        <v>3</v>
      </c>
      <c r="L87" s="11">
        <v>5</v>
      </c>
      <c r="O87" s="4">
        <f t="shared" si="4"/>
        <v>2</v>
      </c>
    </row>
    <row r="88" spans="1:16" x14ac:dyDescent="0.3">
      <c r="A88" t="s">
        <v>71</v>
      </c>
      <c r="B88" t="s">
        <v>195</v>
      </c>
      <c r="C88" t="s">
        <v>71</v>
      </c>
      <c r="D88">
        <v>817</v>
      </c>
      <c r="E88">
        <v>44.8</v>
      </c>
      <c r="F88">
        <v>47.48</v>
      </c>
      <c r="G88">
        <f t="shared" si="5"/>
        <v>46.14</v>
      </c>
      <c r="H88">
        <v>16</v>
      </c>
      <c r="I88">
        <v>8</v>
      </c>
      <c r="J88">
        <v>9</v>
      </c>
      <c r="K88" s="11" t="str">
        <f t="shared" si="6"/>
        <v>3</v>
      </c>
      <c r="L88" s="11">
        <v>5</v>
      </c>
      <c r="O88" s="4">
        <f t="shared" si="4"/>
        <v>2</v>
      </c>
    </row>
    <row r="89" spans="1:16" x14ac:dyDescent="0.3">
      <c r="A89" t="s">
        <v>95</v>
      </c>
      <c r="B89" t="s">
        <v>96</v>
      </c>
      <c r="C89" t="s">
        <v>95</v>
      </c>
      <c r="D89">
        <v>216</v>
      </c>
      <c r="E89">
        <v>52.78</v>
      </c>
      <c r="F89">
        <v>43.18</v>
      </c>
      <c r="G89">
        <f t="shared" si="5"/>
        <v>47.980000000000004</v>
      </c>
      <c r="H89">
        <v>8</v>
      </c>
      <c r="I89">
        <v>16</v>
      </c>
      <c r="J89">
        <v>17</v>
      </c>
      <c r="K89" s="11" t="str">
        <f t="shared" si="6"/>
        <v>3</v>
      </c>
      <c r="L89" s="11">
        <v>5</v>
      </c>
      <c r="O89" s="4">
        <f t="shared" si="4"/>
        <v>2</v>
      </c>
    </row>
    <row r="90" spans="1:16" x14ac:dyDescent="0.3">
      <c r="A90" t="s">
        <v>72</v>
      </c>
      <c r="B90" t="s">
        <v>196</v>
      </c>
      <c r="C90" t="s">
        <v>72</v>
      </c>
      <c r="D90">
        <v>246</v>
      </c>
      <c r="E90">
        <v>50.41</v>
      </c>
      <c r="F90">
        <v>49.4</v>
      </c>
      <c r="G90">
        <f t="shared" si="5"/>
        <v>49.905000000000001</v>
      </c>
      <c r="H90">
        <v>8</v>
      </c>
      <c r="I90">
        <v>10</v>
      </c>
      <c r="J90">
        <v>5</v>
      </c>
      <c r="K90" s="11" t="str">
        <f t="shared" si="6"/>
        <v>3</v>
      </c>
      <c r="L90" s="11">
        <v>5</v>
      </c>
      <c r="O90" s="4">
        <f t="shared" si="4"/>
        <v>2</v>
      </c>
    </row>
    <row r="91" spans="1:16" x14ac:dyDescent="0.3">
      <c r="A91" t="s">
        <v>73</v>
      </c>
      <c r="B91" t="s">
        <v>197</v>
      </c>
      <c r="C91" t="s">
        <v>73</v>
      </c>
      <c r="D91">
        <v>239</v>
      </c>
      <c r="E91">
        <v>63.6</v>
      </c>
      <c r="F91">
        <v>47.79</v>
      </c>
      <c r="G91">
        <f t="shared" si="5"/>
        <v>55.695</v>
      </c>
      <c r="H91">
        <v>8</v>
      </c>
      <c r="I91">
        <v>17</v>
      </c>
      <c r="J91">
        <v>16</v>
      </c>
      <c r="K91" s="11" t="str">
        <f t="shared" si="6"/>
        <v>3</v>
      </c>
      <c r="L91" s="11">
        <v>5</v>
      </c>
      <c r="O91" s="4">
        <f t="shared" si="4"/>
        <v>2</v>
      </c>
    </row>
    <row r="92" spans="1:16" x14ac:dyDescent="0.3">
      <c r="A92" t="s">
        <v>74</v>
      </c>
      <c r="B92" t="s">
        <v>198</v>
      </c>
      <c r="C92" t="s">
        <v>74</v>
      </c>
      <c r="D92">
        <v>336</v>
      </c>
      <c r="E92">
        <v>60.42</v>
      </c>
      <c r="F92">
        <v>44.2</v>
      </c>
      <c r="G92">
        <f t="shared" si="5"/>
        <v>52.31</v>
      </c>
      <c r="H92">
        <v>8</v>
      </c>
      <c r="I92">
        <v>10</v>
      </c>
      <c r="J92">
        <v>16</v>
      </c>
      <c r="K92" s="11" t="str">
        <f t="shared" si="6"/>
        <v>3</v>
      </c>
      <c r="L92" s="11">
        <v>5</v>
      </c>
      <c r="O92" s="4">
        <f t="shared" si="4"/>
        <v>2</v>
      </c>
    </row>
    <row r="93" spans="1:16" x14ac:dyDescent="0.3">
      <c r="A93" t="s">
        <v>199</v>
      </c>
      <c r="B93" t="s">
        <v>200</v>
      </c>
      <c r="C93" t="s">
        <v>233</v>
      </c>
      <c r="D93">
        <v>389</v>
      </c>
      <c r="E93">
        <v>53.21</v>
      </c>
      <c r="F93">
        <v>42.31</v>
      </c>
      <c r="G93">
        <f t="shared" si="5"/>
        <v>47.760000000000005</v>
      </c>
      <c r="H93">
        <v>9</v>
      </c>
      <c r="I93">
        <v>8</v>
      </c>
      <c r="J93">
        <v>16</v>
      </c>
      <c r="K93" s="11" t="str">
        <f t="shared" si="6"/>
        <v>3</v>
      </c>
      <c r="L93" s="11">
        <v>5</v>
      </c>
      <c r="O93" s="4">
        <f t="shared" si="4"/>
        <v>2</v>
      </c>
    </row>
    <row r="94" spans="1:16" x14ac:dyDescent="0.3">
      <c r="A94" t="s">
        <v>201</v>
      </c>
      <c r="B94" t="s">
        <v>75</v>
      </c>
      <c r="C94" t="s">
        <v>234</v>
      </c>
      <c r="D94">
        <v>233</v>
      </c>
      <c r="E94">
        <v>72.099999999999994</v>
      </c>
      <c r="F94">
        <v>53.85</v>
      </c>
      <c r="G94">
        <f t="shared" si="5"/>
        <v>62.974999999999994</v>
      </c>
      <c r="H94">
        <v>8</v>
      </c>
      <c r="I94">
        <v>16</v>
      </c>
      <c r="J94">
        <v>1</v>
      </c>
      <c r="K94" s="11" t="str">
        <f t="shared" si="6"/>
        <v>4</v>
      </c>
      <c r="L94" s="11">
        <v>5</v>
      </c>
      <c r="O94" s="4">
        <f t="shared" si="4"/>
        <v>1</v>
      </c>
    </row>
    <row r="95" spans="1:16" x14ac:dyDescent="0.3">
      <c r="A95" t="s">
        <v>76</v>
      </c>
      <c r="B95" t="s">
        <v>77</v>
      </c>
      <c r="C95" t="s">
        <v>76</v>
      </c>
      <c r="D95">
        <v>804</v>
      </c>
      <c r="E95">
        <v>80.099999999999994</v>
      </c>
      <c r="F95">
        <v>58.08</v>
      </c>
      <c r="G95">
        <f t="shared" si="5"/>
        <v>69.09</v>
      </c>
      <c r="H95">
        <v>9</v>
      </c>
      <c r="I95">
        <v>8</v>
      </c>
      <c r="J95">
        <v>17</v>
      </c>
      <c r="K95" s="11" t="str">
        <f t="shared" si="6"/>
        <v>4</v>
      </c>
      <c r="L95" s="11">
        <v>5</v>
      </c>
      <c r="O95" s="4">
        <f t="shared" si="4"/>
        <v>1</v>
      </c>
    </row>
    <row r="96" spans="1:16" x14ac:dyDescent="0.3">
      <c r="A96" t="s">
        <v>84</v>
      </c>
      <c r="B96" t="s">
        <v>85</v>
      </c>
      <c r="C96" t="s">
        <v>84</v>
      </c>
      <c r="D96">
        <v>129</v>
      </c>
      <c r="E96">
        <v>78.290000000000006</v>
      </c>
      <c r="F96">
        <v>55.7</v>
      </c>
      <c r="G96">
        <f t="shared" si="5"/>
        <v>66.995000000000005</v>
      </c>
      <c r="H96">
        <v>15</v>
      </c>
      <c r="I96">
        <v>13</v>
      </c>
      <c r="J96">
        <v>11</v>
      </c>
      <c r="K96" s="11" t="str">
        <f t="shared" si="6"/>
        <v>4</v>
      </c>
      <c r="L96" s="11">
        <v>5</v>
      </c>
      <c r="O96" s="4">
        <f t="shared" si="4"/>
        <v>1</v>
      </c>
    </row>
    <row r="97" spans="1:15" x14ac:dyDescent="0.3">
      <c r="A97" t="s">
        <v>86</v>
      </c>
      <c r="B97" t="s">
        <v>202</v>
      </c>
      <c r="C97" t="s">
        <v>86</v>
      </c>
      <c r="D97">
        <v>587</v>
      </c>
      <c r="E97">
        <v>83.82</v>
      </c>
      <c r="F97">
        <v>80.17</v>
      </c>
      <c r="G97">
        <f t="shared" si="5"/>
        <v>81.995000000000005</v>
      </c>
      <c r="H97">
        <v>9</v>
      </c>
      <c r="I97">
        <v>8</v>
      </c>
      <c r="J97">
        <v>17</v>
      </c>
      <c r="K97" s="11" t="str">
        <f t="shared" si="6"/>
        <v>5</v>
      </c>
      <c r="L97" s="11">
        <v>5</v>
      </c>
      <c r="O97" s="4">
        <f t="shared" si="4"/>
        <v>0</v>
      </c>
    </row>
    <row r="98" spans="1:15" x14ac:dyDescent="0.3">
      <c r="A98" t="s">
        <v>203</v>
      </c>
      <c r="B98" t="s">
        <v>21</v>
      </c>
      <c r="C98" t="s">
        <v>203</v>
      </c>
      <c r="D98">
        <v>58</v>
      </c>
      <c r="E98">
        <v>55.17</v>
      </c>
      <c r="F98">
        <v>36.840000000000003</v>
      </c>
      <c r="G98">
        <f t="shared" si="5"/>
        <v>46.005000000000003</v>
      </c>
      <c r="H98">
        <v>13</v>
      </c>
      <c r="I98">
        <v>11</v>
      </c>
      <c r="J98">
        <v>8</v>
      </c>
      <c r="K98" s="11" t="str">
        <f t="shared" si="6"/>
        <v>3</v>
      </c>
      <c r="L98" s="11">
        <v>5</v>
      </c>
      <c r="O98" s="4">
        <f t="shared" ref="O98:O101" si="7">ABS(K98-L98)</f>
        <v>2</v>
      </c>
    </row>
    <row r="99" spans="1:15" x14ac:dyDescent="0.3">
      <c r="A99" t="s">
        <v>209</v>
      </c>
      <c r="B99" t="s">
        <v>210</v>
      </c>
      <c r="C99" t="s">
        <v>211</v>
      </c>
      <c r="D99">
        <v>120</v>
      </c>
      <c r="E99">
        <v>56.67</v>
      </c>
      <c r="F99">
        <v>41.46</v>
      </c>
      <c r="G99">
        <f t="shared" si="5"/>
        <v>49.064999999999998</v>
      </c>
      <c r="H99">
        <v>10</v>
      </c>
      <c r="I99">
        <v>8</v>
      </c>
      <c r="J99">
        <v>12</v>
      </c>
      <c r="K99" s="11" t="str">
        <f t="shared" si="6"/>
        <v>3</v>
      </c>
      <c r="L99" s="11">
        <v>5</v>
      </c>
      <c r="O99" s="4">
        <f t="shared" si="7"/>
        <v>2</v>
      </c>
    </row>
    <row r="100" spans="1:15" x14ac:dyDescent="0.3">
      <c r="A100" t="s">
        <v>204</v>
      </c>
      <c r="B100" t="s">
        <v>205</v>
      </c>
      <c r="C100" t="s">
        <v>204</v>
      </c>
      <c r="D100">
        <v>142</v>
      </c>
      <c r="E100">
        <v>56.34</v>
      </c>
      <c r="F100">
        <v>46.34</v>
      </c>
      <c r="G100">
        <f t="shared" si="5"/>
        <v>51.34</v>
      </c>
      <c r="H100">
        <v>8</v>
      </c>
      <c r="I100">
        <v>16</v>
      </c>
      <c r="J100">
        <v>17</v>
      </c>
      <c r="K100" s="11" t="str">
        <f t="shared" si="6"/>
        <v>3</v>
      </c>
      <c r="L100" s="11">
        <v>5</v>
      </c>
      <c r="O100" s="4">
        <f t="shared" si="7"/>
        <v>2</v>
      </c>
    </row>
    <row r="101" spans="1:15" x14ac:dyDescent="0.3">
      <c r="A101" t="s">
        <v>206</v>
      </c>
      <c r="B101" t="s">
        <v>207</v>
      </c>
      <c r="C101" t="s">
        <v>206</v>
      </c>
      <c r="D101">
        <v>399</v>
      </c>
      <c r="E101">
        <v>47.62</v>
      </c>
      <c r="F101">
        <v>44.44</v>
      </c>
      <c r="G101">
        <f t="shared" si="5"/>
        <v>46.03</v>
      </c>
      <c r="H101">
        <v>8</v>
      </c>
      <c r="I101">
        <v>9</v>
      </c>
      <c r="J101">
        <v>10</v>
      </c>
      <c r="K101" s="11" t="str">
        <f t="shared" si="6"/>
        <v>3</v>
      </c>
      <c r="L101" s="11">
        <v>5</v>
      </c>
      <c r="O101" s="4">
        <f t="shared" si="7"/>
        <v>2</v>
      </c>
    </row>
    <row r="102" spans="1:15" x14ac:dyDescent="0.3">
      <c r="K102" s="11"/>
      <c r="L102" s="11"/>
      <c r="O102" s="4"/>
    </row>
    <row r="103" spans="1:15" x14ac:dyDescent="0.3">
      <c r="K103" s="11"/>
      <c r="L103" s="11"/>
      <c r="O103" s="4"/>
    </row>
    <row r="104" spans="1:15" x14ac:dyDescent="0.3">
      <c r="K104" s="11"/>
      <c r="L104" s="11"/>
      <c r="O104" s="4"/>
    </row>
    <row r="105" spans="1:15" x14ac:dyDescent="0.3">
      <c r="K105" s="11"/>
      <c r="L105" s="11"/>
      <c r="O105" s="4"/>
    </row>
    <row r="106" spans="1:15" x14ac:dyDescent="0.3">
      <c r="K106" s="11"/>
      <c r="L106" s="11"/>
      <c r="O106" s="4"/>
    </row>
    <row r="107" spans="1:15" x14ac:dyDescent="0.3">
      <c r="K107" s="11"/>
      <c r="L107" s="11"/>
      <c r="O107" s="4"/>
    </row>
    <row r="108" spans="1:15" x14ac:dyDescent="0.3">
      <c r="K108" s="11"/>
      <c r="L108" s="11"/>
      <c r="O108" s="4"/>
    </row>
    <row r="109" spans="1:15" x14ac:dyDescent="0.3">
      <c r="K109" s="11"/>
      <c r="L109" s="11"/>
      <c r="O109" s="4"/>
    </row>
    <row r="110" spans="1:15" x14ac:dyDescent="0.3">
      <c r="K110" s="11"/>
      <c r="L110" s="11"/>
      <c r="O110" s="4"/>
    </row>
    <row r="111" spans="1:15" x14ac:dyDescent="0.3">
      <c r="K111" s="11"/>
      <c r="L111" s="11"/>
      <c r="O111" s="4"/>
    </row>
    <row r="112" spans="1:15" x14ac:dyDescent="0.3">
      <c r="K112" s="11"/>
      <c r="L112" s="11"/>
      <c r="O112" s="4"/>
    </row>
    <row r="113" spans="11:15" x14ac:dyDescent="0.3">
      <c r="K113" s="11"/>
      <c r="L113" s="11"/>
      <c r="O113" s="4"/>
    </row>
    <row r="114" spans="11:15" x14ac:dyDescent="0.3">
      <c r="K114" s="11"/>
      <c r="L114" s="11"/>
      <c r="O114" s="4"/>
    </row>
    <row r="115" spans="11:15" x14ac:dyDescent="0.3">
      <c r="K115" s="11"/>
      <c r="L115" s="11"/>
      <c r="O115" s="4"/>
    </row>
    <row r="116" spans="11:15" x14ac:dyDescent="0.3">
      <c r="K116" s="11"/>
      <c r="L116" s="11"/>
      <c r="O116" s="4"/>
    </row>
    <row r="117" spans="11:15" x14ac:dyDescent="0.3">
      <c r="K117" s="11"/>
      <c r="L117" s="11"/>
      <c r="O117" s="4"/>
    </row>
    <row r="118" spans="11:15" x14ac:dyDescent="0.3">
      <c r="K118" s="11"/>
      <c r="L118" s="11"/>
      <c r="O118" s="4"/>
    </row>
    <row r="119" spans="11:15" x14ac:dyDescent="0.3">
      <c r="K119" s="11"/>
      <c r="L119" s="11"/>
      <c r="O119" s="4"/>
    </row>
    <row r="120" spans="11:15" x14ac:dyDescent="0.3">
      <c r="K120" s="11"/>
      <c r="L120" s="11"/>
      <c r="O120" s="4"/>
    </row>
    <row r="121" spans="11:15" x14ac:dyDescent="0.3">
      <c r="K121" s="11"/>
      <c r="L121" s="11"/>
      <c r="O121" s="4"/>
    </row>
    <row r="122" spans="11:15" x14ac:dyDescent="0.3">
      <c r="K122" s="11"/>
      <c r="L122" s="11"/>
      <c r="O122" s="4"/>
    </row>
    <row r="123" spans="11:15" x14ac:dyDescent="0.3">
      <c r="K123" s="11"/>
      <c r="L123" s="11"/>
      <c r="O123" s="4"/>
    </row>
    <row r="124" spans="11:15" x14ac:dyDescent="0.3">
      <c r="K124" s="11"/>
      <c r="L124" s="11"/>
      <c r="O124" s="4"/>
    </row>
    <row r="125" spans="11:15" x14ac:dyDescent="0.3">
      <c r="K125" s="11"/>
      <c r="L125" s="11"/>
      <c r="O125" s="4"/>
    </row>
    <row r="126" spans="11:15" x14ac:dyDescent="0.3">
      <c r="K126" s="11"/>
      <c r="L126" s="11"/>
      <c r="O126" s="4"/>
    </row>
    <row r="127" spans="11:15" x14ac:dyDescent="0.3">
      <c r="K127" s="11"/>
      <c r="L127" s="11"/>
      <c r="O127" s="4"/>
    </row>
    <row r="128" spans="11:15" x14ac:dyDescent="0.3">
      <c r="K128" s="11"/>
      <c r="L128" s="11"/>
      <c r="O128" s="4"/>
    </row>
    <row r="129" spans="11:15" x14ac:dyDescent="0.3">
      <c r="K129" s="11"/>
      <c r="L129" s="11"/>
      <c r="O129" s="4"/>
    </row>
    <row r="130" spans="11:15" x14ac:dyDescent="0.3">
      <c r="K130" s="11"/>
      <c r="L130" s="11"/>
      <c r="O130" s="4"/>
    </row>
    <row r="131" spans="11:15" x14ac:dyDescent="0.3">
      <c r="K131" s="11"/>
      <c r="L131" s="11"/>
      <c r="O131" s="4"/>
    </row>
    <row r="132" spans="11:15" x14ac:dyDescent="0.3">
      <c r="K132" s="11"/>
      <c r="L132" s="11"/>
      <c r="O132" s="4"/>
    </row>
    <row r="133" spans="11:15" x14ac:dyDescent="0.3">
      <c r="K133" s="11"/>
      <c r="L133" s="11"/>
      <c r="O133" s="4"/>
    </row>
    <row r="134" spans="11:15" x14ac:dyDescent="0.3">
      <c r="K134" s="11"/>
      <c r="L134" s="11"/>
      <c r="O134" s="4"/>
    </row>
    <row r="135" spans="11:15" x14ac:dyDescent="0.3">
      <c r="K135" s="11"/>
      <c r="L135" s="11"/>
      <c r="O135" s="4"/>
    </row>
    <row r="136" spans="11:15" x14ac:dyDescent="0.3">
      <c r="K136" s="11"/>
      <c r="L136" s="11"/>
      <c r="O136" s="4"/>
    </row>
    <row r="137" spans="11:15" x14ac:dyDescent="0.3">
      <c r="K137" s="11"/>
      <c r="L137" s="11"/>
      <c r="O137" s="4"/>
    </row>
    <row r="138" spans="11:15" x14ac:dyDescent="0.3">
      <c r="K138" s="11"/>
      <c r="L138" s="11"/>
      <c r="O138" s="4"/>
    </row>
    <row r="139" spans="11:15" x14ac:dyDescent="0.3">
      <c r="K139" s="11"/>
      <c r="L139" s="11"/>
      <c r="O139" s="4"/>
    </row>
    <row r="140" spans="11:15" x14ac:dyDescent="0.3">
      <c r="K140" s="11"/>
      <c r="L140" s="11"/>
      <c r="O140" s="4"/>
    </row>
    <row r="141" spans="11:15" x14ac:dyDescent="0.3">
      <c r="K141" s="11"/>
      <c r="L141" s="11"/>
      <c r="O141" s="4"/>
    </row>
    <row r="142" spans="11:15" x14ac:dyDescent="0.3">
      <c r="K142" s="11"/>
      <c r="L142" s="11"/>
      <c r="O142" s="4"/>
    </row>
    <row r="143" spans="11:15" x14ac:dyDescent="0.3">
      <c r="K143" s="11"/>
      <c r="L143" s="11"/>
      <c r="O143" s="4"/>
    </row>
    <row r="144" spans="11:15" x14ac:dyDescent="0.3">
      <c r="K144" s="11"/>
      <c r="L144" s="11"/>
      <c r="O144" s="4"/>
    </row>
    <row r="145" spans="11:15" x14ac:dyDescent="0.3">
      <c r="K145" s="11"/>
      <c r="L145" s="11"/>
      <c r="O145" s="4"/>
    </row>
    <row r="146" spans="11:15" x14ac:dyDescent="0.3">
      <c r="K146" s="11"/>
      <c r="L146" s="11"/>
      <c r="M146" s="11"/>
      <c r="O146" s="4"/>
    </row>
    <row r="147" spans="11:15" x14ac:dyDescent="0.3">
      <c r="K147" s="11"/>
      <c r="L147" s="11"/>
      <c r="M147" s="11"/>
      <c r="O147" s="4"/>
    </row>
    <row r="148" spans="11:15" x14ac:dyDescent="0.3">
      <c r="K148" s="11"/>
      <c r="L148" s="11"/>
      <c r="M148" s="11"/>
      <c r="O148" s="4"/>
    </row>
    <row r="149" spans="11:15" x14ac:dyDescent="0.3">
      <c r="K149" s="11"/>
      <c r="L149" s="11"/>
      <c r="M149" s="11"/>
      <c r="O149" s="4"/>
    </row>
    <row r="150" spans="11:15" x14ac:dyDescent="0.3">
      <c r="K150" s="11"/>
      <c r="L150" s="11"/>
      <c r="O150" s="4"/>
    </row>
    <row r="151" spans="11:15" x14ac:dyDescent="0.3">
      <c r="K151" s="11"/>
      <c r="L151" s="11"/>
      <c r="O151" s="4"/>
    </row>
    <row r="152" spans="11:15" x14ac:dyDescent="0.3">
      <c r="K152" s="11"/>
      <c r="L152" s="11"/>
      <c r="O152" s="4"/>
    </row>
    <row r="153" spans="11:15" x14ac:dyDescent="0.3">
      <c r="K153" s="11"/>
      <c r="L153" s="11"/>
      <c r="O153" s="4"/>
    </row>
    <row r="154" spans="11:15" x14ac:dyDescent="0.3">
      <c r="K154" s="11"/>
      <c r="L154" s="11"/>
      <c r="O154" s="4"/>
    </row>
    <row r="155" spans="11:15" x14ac:dyDescent="0.3">
      <c r="K155" s="11"/>
      <c r="L155" s="11"/>
      <c r="O155" s="4"/>
    </row>
    <row r="156" spans="11:15" x14ac:dyDescent="0.3">
      <c r="K156" s="11"/>
      <c r="L156" s="11"/>
      <c r="O156" s="4"/>
    </row>
    <row r="157" spans="11:15" x14ac:dyDescent="0.3">
      <c r="K157" s="11"/>
      <c r="L157" s="11"/>
      <c r="O157" s="4"/>
    </row>
    <row r="158" spans="11:15" x14ac:dyDescent="0.3">
      <c r="K158" s="11"/>
      <c r="L158" s="11"/>
      <c r="O158" s="4"/>
    </row>
    <row r="159" spans="11:15" x14ac:dyDescent="0.3">
      <c r="K159" s="11"/>
      <c r="L159" s="11"/>
      <c r="O159" s="4"/>
    </row>
    <row r="160" spans="11:15" x14ac:dyDescent="0.3">
      <c r="K160" s="11"/>
      <c r="L160" s="11"/>
      <c r="O160" s="4"/>
    </row>
    <row r="161" spans="11:15" x14ac:dyDescent="0.3">
      <c r="K161" s="11"/>
      <c r="L161" s="11"/>
      <c r="O161" s="4"/>
    </row>
    <row r="162" spans="11:15" x14ac:dyDescent="0.3">
      <c r="K162" s="11"/>
      <c r="L162" s="11"/>
      <c r="M162" s="11"/>
      <c r="O162" s="4"/>
    </row>
    <row r="163" spans="11:15" x14ac:dyDescent="0.3">
      <c r="K163" s="11"/>
      <c r="L163" s="11"/>
      <c r="M163" s="11"/>
      <c r="O163" s="4"/>
    </row>
    <row r="164" spans="11:15" x14ac:dyDescent="0.3">
      <c r="K164" s="11"/>
      <c r="L164" s="11"/>
      <c r="M164" s="11"/>
      <c r="O164" s="4"/>
    </row>
    <row r="165" spans="11:15" x14ac:dyDescent="0.3">
      <c r="K165" s="11"/>
      <c r="L165" s="11"/>
      <c r="O165" s="4"/>
    </row>
    <row r="166" spans="11:15" x14ac:dyDescent="0.3">
      <c r="K166" s="11"/>
      <c r="L166" s="11"/>
      <c r="O166" s="4"/>
    </row>
    <row r="167" spans="11:15" x14ac:dyDescent="0.3">
      <c r="K167" s="11"/>
      <c r="L167" s="11"/>
      <c r="O167" s="4"/>
    </row>
    <row r="168" spans="11:15" x14ac:dyDescent="0.3">
      <c r="K168" s="11"/>
      <c r="L168" s="11"/>
      <c r="O168" s="4"/>
    </row>
    <row r="169" spans="11:15" x14ac:dyDescent="0.3">
      <c r="K169" s="11"/>
      <c r="L169" s="11"/>
      <c r="O169" s="4"/>
    </row>
    <row r="170" spans="11:15" x14ac:dyDescent="0.3">
      <c r="K170" s="11"/>
      <c r="L170" s="11"/>
      <c r="O170" s="4"/>
    </row>
    <row r="171" spans="11:15" x14ac:dyDescent="0.3">
      <c r="K171" s="11"/>
      <c r="L171" s="11"/>
      <c r="O171" s="4"/>
    </row>
    <row r="172" spans="11:15" x14ac:dyDescent="0.3">
      <c r="K172" s="11"/>
      <c r="L172" s="11"/>
      <c r="O172" s="4"/>
    </row>
    <row r="173" spans="11:15" x14ac:dyDescent="0.3">
      <c r="K173" s="11"/>
      <c r="L173" s="11"/>
      <c r="O173" s="4"/>
    </row>
    <row r="174" spans="11:15" x14ac:dyDescent="0.3">
      <c r="K174" s="11"/>
      <c r="L174" s="11"/>
      <c r="O174" s="4"/>
    </row>
    <row r="175" spans="11:15" x14ac:dyDescent="0.3">
      <c r="K175" s="11"/>
      <c r="L175" s="11"/>
      <c r="O175" s="4"/>
    </row>
    <row r="176" spans="11:15" x14ac:dyDescent="0.3">
      <c r="K176" s="11"/>
      <c r="L176" s="11"/>
      <c r="O176" s="4"/>
    </row>
    <row r="177" spans="11:15" x14ac:dyDescent="0.3">
      <c r="K177" s="11"/>
      <c r="L177" s="11"/>
      <c r="O177" s="4"/>
    </row>
    <row r="178" spans="11:15" x14ac:dyDescent="0.3">
      <c r="K178" s="11"/>
      <c r="L178" s="11"/>
      <c r="O178" s="4"/>
    </row>
    <row r="179" spans="11:15" x14ac:dyDescent="0.3">
      <c r="K179" s="11"/>
      <c r="L179" s="11"/>
      <c r="O179" s="4"/>
    </row>
    <row r="180" spans="11:15" x14ac:dyDescent="0.3">
      <c r="K180" s="11"/>
      <c r="L180" s="11"/>
      <c r="O180" s="4"/>
    </row>
    <row r="181" spans="11:15" x14ac:dyDescent="0.3">
      <c r="K181" s="11"/>
      <c r="L181" s="11"/>
      <c r="O181" s="4"/>
    </row>
    <row r="182" spans="11:15" x14ac:dyDescent="0.3">
      <c r="K182" s="11"/>
      <c r="L182" s="11"/>
      <c r="O182" s="4"/>
    </row>
    <row r="183" spans="11:15" x14ac:dyDescent="0.3">
      <c r="K183" s="11"/>
      <c r="L183" s="11"/>
      <c r="O183" s="4"/>
    </row>
    <row r="184" spans="11:15" x14ac:dyDescent="0.3">
      <c r="K184" s="11"/>
      <c r="L184" s="11"/>
      <c r="O184" s="4"/>
    </row>
    <row r="185" spans="11:15" x14ac:dyDescent="0.3">
      <c r="K185" s="11"/>
      <c r="L185" s="11"/>
      <c r="O185" s="4"/>
    </row>
    <row r="186" spans="11:15" x14ac:dyDescent="0.3">
      <c r="K186" s="11"/>
      <c r="L186" s="11"/>
      <c r="O186" s="4"/>
    </row>
    <row r="187" spans="11:15" x14ac:dyDescent="0.3">
      <c r="K187" s="11"/>
      <c r="L187" s="11"/>
      <c r="O187" s="4"/>
    </row>
    <row r="188" spans="11:15" x14ac:dyDescent="0.3">
      <c r="K188" s="11"/>
      <c r="L188" s="11"/>
      <c r="O188" s="4"/>
    </row>
    <row r="189" spans="11:15" x14ac:dyDescent="0.3">
      <c r="K189" s="11"/>
      <c r="L189" s="11"/>
      <c r="O189" s="4"/>
    </row>
    <row r="190" spans="11:15" x14ac:dyDescent="0.3">
      <c r="K190" s="11"/>
      <c r="L190" s="11"/>
      <c r="O190" s="4"/>
    </row>
    <row r="191" spans="11:15" x14ac:dyDescent="0.3">
      <c r="K191" s="11"/>
      <c r="L191" s="11"/>
      <c r="O191" s="4"/>
    </row>
    <row r="192" spans="11:15" x14ac:dyDescent="0.3">
      <c r="K192" s="11"/>
      <c r="L192" s="11"/>
      <c r="O192" s="4"/>
    </row>
    <row r="193" spans="11:15" x14ac:dyDescent="0.3">
      <c r="K193" s="11"/>
      <c r="L193" s="11"/>
      <c r="O193" s="4"/>
    </row>
    <row r="194" spans="11:15" x14ac:dyDescent="0.3">
      <c r="K194" s="11"/>
      <c r="L194" s="11"/>
      <c r="M194" s="11"/>
      <c r="O194" s="4"/>
    </row>
    <row r="195" spans="11:15" x14ac:dyDescent="0.3">
      <c r="K195" s="11"/>
      <c r="L195" s="11"/>
      <c r="O195" s="4"/>
    </row>
    <row r="196" spans="11:15" x14ac:dyDescent="0.3">
      <c r="K196" s="11"/>
      <c r="L196" s="11"/>
      <c r="O196" s="4"/>
    </row>
    <row r="197" spans="11:15" x14ac:dyDescent="0.3">
      <c r="K197" s="11"/>
      <c r="L197" s="11"/>
      <c r="O197" s="4"/>
    </row>
    <row r="198" spans="11:15" x14ac:dyDescent="0.3">
      <c r="K198" s="11"/>
      <c r="L198" s="11"/>
      <c r="O198" s="4"/>
    </row>
    <row r="199" spans="11:15" x14ac:dyDescent="0.3">
      <c r="K199" s="11"/>
      <c r="L199" s="11"/>
      <c r="O199" s="4"/>
    </row>
    <row r="200" spans="11:15" x14ac:dyDescent="0.3">
      <c r="K200" s="11"/>
      <c r="L200" s="11"/>
      <c r="O200" s="4"/>
    </row>
    <row r="201" spans="11:15" x14ac:dyDescent="0.3">
      <c r="K201" s="11"/>
      <c r="L201" s="11"/>
      <c r="O201" s="4"/>
    </row>
  </sheetData>
  <autoFilter ref="A1:O1" xr:uid="{15D91737-F968-4E4F-A01E-337200C1E7C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2015-2019</vt:lpstr>
      <vt:lpstr>2020_2024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Steingard</dc:creator>
  <cp:lastModifiedBy>Dylan Flynn</cp:lastModifiedBy>
  <dcterms:created xsi:type="dcterms:W3CDTF">2024-10-04T15:14:33Z</dcterms:created>
  <dcterms:modified xsi:type="dcterms:W3CDTF">2024-12-18T15:54:48Z</dcterms:modified>
</cp:coreProperties>
</file>